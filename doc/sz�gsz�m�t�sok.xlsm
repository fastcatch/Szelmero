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20" windowWidth="19155" windowHeight="10260" activeTab="5"/>
  </bookViews>
  <sheets>
    <sheet name="8 bites" sheetId="1" r:id="rId1"/>
    <sheet name="9 bites" sheetId="8" r:id="rId2"/>
    <sheet name="4 bites" sheetId="4" r:id="rId3"/>
    <sheet name="atan45" sheetId="5" r:id="rId4"/>
    <sheet name="Munka1" sheetId="6" r:id="rId5"/>
    <sheet name="Munka2" sheetId="7" r:id="rId6"/>
    <sheet name="Munka4" sheetId="9" r:id="rId7"/>
  </sheets>
  <definedNames>
    <definedName name="Rx">atan45!$B$2:$B$22</definedName>
  </definedNames>
  <calcPr calcId="125725"/>
  <fileRecoveryPr repairLoad="1"/>
</workbook>
</file>

<file path=xl/calcChain.xml><?xml version="1.0" encoding="utf-8"?>
<calcChain xmlns="http://schemas.openxmlformats.org/spreadsheetml/2006/main">
  <c r="D3" i="9"/>
  <c r="D4"/>
  <c r="B4"/>
  <c r="B3"/>
  <c r="D3" i="8"/>
  <c r="E3"/>
  <c r="D4"/>
  <c r="E4"/>
  <c r="D5"/>
  <c r="E5"/>
  <c r="D6"/>
  <c r="E6"/>
  <c r="D7"/>
  <c r="E7"/>
  <c r="D8"/>
  <c r="E8"/>
  <c r="D9"/>
  <c r="E9"/>
  <c r="D10"/>
  <c r="E10"/>
  <c r="D11"/>
  <c r="E11"/>
  <c r="D12"/>
  <c r="E12"/>
  <c r="D13"/>
  <c r="E13"/>
  <c r="D14"/>
  <c r="E14"/>
  <c r="D15"/>
  <c r="E15"/>
  <c r="D16"/>
  <c r="E16"/>
  <c r="D17"/>
  <c r="E17"/>
  <c r="D18"/>
  <c r="E18"/>
  <c r="D19"/>
  <c r="E19"/>
  <c r="D20"/>
  <c r="E20"/>
  <c r="D21"/>
  <c r="E21"/>
  <c r="D22"/>
  <c r="E22"/>
  <c r="D23"/>
  <c r="E23"/>
  <c r="D24"/>
  <c r="E24"/>
  <c r="D25"/>
  <c r="E25"/>
  <c r="D26"/>
  <c r="E26"/>
  <c r="D27"/>
  <c r="E27"/>
  <c r="D28"/>
  <c r="E28"/>
  <c r="D29"/>
  <c r="E29"/>
  <c r="D30"/>
  <c r="E30"/>
  <c r="D31"/>
  <c r="E31"/>
  <c r="D32"/>
  <c r="E32"/>
  <c r="D33"/>
  <c r="E33"/>
  <c r="D34"/>
  <c r="E34"/>
  <c r="D35"/>
  <c r="E35"/>
  <c r="D36"/>
  <c r="E36"/>
  <c r="D37"/>
  <c r="E37"/>
  <c r="D38"/>
  <c r="E38"/>
  <c r="D39"/>
  <c r="E39"/>
  <c r="D40"/>
  <c r="E40"/>
  <c r="D41"/>
  <c r="E41"/>
  <c r="D42"/>
  <c r="E42"/>
  <c r="D43"/>
  <c r="E43"/>
  <c r="D44"/>
  <c r="E44"/>
  <c r="D45"/>
  <c r="E45"/>
  <c r="D46"/>
  <c r="E46"/>
  <c r="D47"/>
  <c r="E47"/>
  <c r="D48"/>
  <c r="E48"/>
  <c r="D49"/>
  <c r="E49"/>
  <c r="D50"/>
  <c r="E50"/>
  <c r="D51"/>
  <c r="E51"/>
  <c r="D52"/>
  <c r="E52"/>
  <c r="D53"/>
  <c r="E53"/>
  <c r="D54"/>
  <c r="E54"/>
  <c r="D55"/>
  <c r="E55"/>
  <c r="D56"/>
  <c r="E56"/>
  <c r="D57"/>
  <c r="E57"/>
  <c r="D58"/>
  <c r="E58"/>
  <c r="D59"/>
  <c r="E59"/>
  <c r="D60"/>
  <c r="E60"/>
  <c r="D61"/>
  <c r="E61"/>
  <c r="D62"/>
  <c r="E62"/>
  <c r="D63"/>
  <c r="E63"/>
  <c r="D64"/>
  <c r="E64"/>
  <c r="D65"/>
  <c r="E65"/>
  <c r="E2"/>
  <c r="D2"/>
  <c r="B65"/>
  <c r="C65" s="1"/>
  <c r="C64"/>
  <c r="F64" s="1"/>
  <c r="B64"/>
  <c r="B63"/>
  <c r="C63" s="1"/>
  <c r="F63" s="1"/>
  <c r="C62"/>
  <c r="B62"/>
  <c r="B61"/>
  <c r="C61" s="1"/>
  <c r="C60"/>
  <c r="F60" s="1"/>
  <c r="B60"/>
  <c r="B59"/>
  <c r="C59" s="1"/>
  <c r="F59" s="1"/>
  <c r="C58"/>
  <c r="F58" s="1"/>
  <c r="B58"/>
  <c r="B57"/>
  <c r="C57" s="1"/>
  <c r="F57" s="1"/>
  <c r="C56"/>
  <c r="F56" s="1"/>
  <c r="B56"/>
  <c r="B55"/>
  <c r="C55" s="1"/>
  <c r="F55" s="1"/>
  <c r="C54"/>
  <c r="F54" s="1"/>
  <c r="B54"/>
  <c r="B53"/>
  <c r="C53" s="1"/>
  <c r="F53" s="1"/>
  <c r="C52"/>
  <c r="F52" s="1"/>
  <c r="B52"/>
  <c r="B51"/>
  <c r="C51" s="1"/>
  <c r="F51" s="1"/>
  <c r="C50"/>
  <c r="F50" s="1"/>
  <c r="B50"/>
  <c r="B49"/>
  <c r="C49" s="1"/>
  <c r="F49" s="1"/>
  <c r="C48"/>
  <c r="F48" s="1"/>
  <c r="B48"/>
  <c r="B47"/>
  <c r="C47" s="1"/>
  <c r="F47" s="1"/>
  <c r="C46"/>
  <c r="F46" s="1"/>
  <c r="B46"/>
  <c r="B45"/>
  <c r="C45" s="1"/>
  <c r="F45" s="1"/>
  <c r="C44"/>
  <c r="F44" s="1"/>
  <c r="B44"/>
  <c r="B43"/>
  <c r="C43" s="1"/>
  <c r="F43" s="1"/>
  <c r="C42"/>
  <c r="F42" s="1"/>
  <c r="B42"/>
  <c r="B41"/>
  <c r="C41" s="1"/>
  <c r="F41" s="1"/>
  <c r="C40"/>
  <c r="F40" s="1"/>
  <c r="B40"/>
  <c r="B39"/>
  <c r="C39" s="1"/>
  <c r="F39" s="1"/>
  <c r="C38"/>
  <c r="F38" s="1"/>
  <c r="B38"/>
  <c r="B37"/>
  <c r="C37" s="1"/>
  <c r="F37" s="1"/>
  <c r="C36"/>
  <c r="F36" s="1"/>
  <c r="B36"/>
  <c r="B35"/>
  <c r="C35" s="1"/>
  <c r="F35" s="1"/>
  <c r="C34"/>
  <c r="F34" s="1"/>
  <c r="B34"/>
  <c r="B33"/>
  <c r="C33" s="1"/>
  <c r="F33" s="1"/>
  <c r="C32"/>
  <c r="F32" s="1"/>
  <c r="B32"/>
  <c r="B31"/>
  <c r="C31" s="1"/>
  <c r="F31" s="1"/>
  <c r="C30"/>
  <c r="F30" s="1"/>
  <c r="B30"/>
  <c r="B29"/>
  <c r="C29" s="1"/>
  <c r="F29" s="1"/>
  <c r="C28"/>
  <c r="F28" s="1"/>
  <c r="B28"/>
  <c r="B27"/>
  <c r="C27" s="1"/>
  <c r="F27" s="1"/>
  <c r="C26"/>
  <c r="F26" s="1"/>
  <c r="B26"/>
  <c r="B25"/>
  <c r="C25" s="1"/>
  <c r="F25" s="1"/>
  <c r="C24"/>
  <c r="F24" s="1"/>
  <c r="B24"/>
  <c r="B23"/>
  <c r="C23" s="1"/>
  <c r="F23" s="1"/>
  <c r="C22"/>
  <c r="F22" s="1"/>
  <c r="B22"/>
  <c r="B21"/>
  <c r="C21" s="1"/>
  <c r="F21" s="1"/>
  <c r="C20"/>
  <c r="F20" s="1"/>
  <c r="B20"/>
  <c r="B19"/>
  <c r="C19" s="1"/>
  <c r="F19" s="1"/>
  <c r="C18"/>
  <c r="F18" s="1"/>
  <c r="B18"/>
  <c r="B17"/>
  <c r="C17" s="1"/>
  <c r="F17" s="1"/>
  <c r="C16"/>
  <c r="F16" s="1"/>
  <c r="B16"/>
  <c r="B15"/>
  <c r="C15" s="1"/>
  <c r="F15" s="1"/>
  <c r="C14"/>
  <c r="F14" s="1"/>
  <c r="B14"/>
  <c r="B13"/>
  <c r="C13" s="1"/>
  <c r="F13" s="1"/>
  <c r="C12"/>
  <c r="F12" s="1"/>
  <c r="B12"/>
  <c r="B11"/>
  <c r="C11" s="1"/>
  <c r="F11" s="1"/>
  <c r="C10"/>
  <c r="F10" s="1"/>
  <c r="B10"/>
  <c r="B9"/>
  <c r="C9" s="1"/>
  <c r="F9" s="1"/>
  <c r="C8"/>
  <c r="F8" s="1"/>
  <c r="B8"/>
  <c r="B7"/>
  <c r="C7" s="1"/>
  <c r="F7" s="1"/>
  <c r="C6"/>
  <c r="F6" s="1"/>
  <c r="B6"/>
  <c r="B5"/>
  <c r="C5" s="1"/>
  <c r="F5" s="1"/>
  <c r="C4"/>
  <c r="F4" s="1"/>
  <c r="B4"/>
  <c r="B3"/>
  <c r="C3" s="1"/>
  <c r="F3" s="1"/>
  <c r="C2"/>
  <c r="F2" s="1"/>
  <c r="B2"/>
  <c r="A3" i="7"/>
  <c r="A4"/>
  <c r="A5"/>
  <c r="A6"/>
  <c r="B6" s="1"/>
  <c r="A7"/>
  <c r="B7" s="1"/>
  <c r="A8"/>
  <c r="B8" s="1"/>
  <c r="A9"/>
  <c r="B9" s="1"/>
  <c r="A10"/>
  <c r="B10" s="1"/>
  <c r="A11"/>
  <c r="B11" s="1"/>
  <c r="A12"/>
  <c r="B12" s="1"/>
  <c r="A13"/>
  <c r="B13" s="1"/>
  <c r="A14"/>
  <c r="B14" s="1"/>
  <c r="A15"/>
  <c r="B15" s="1"/>
  <c r="A16"/>
  <c r="B16" s="1"/>
  <c r="A17"/>
  <c r="B17" s="1"/>
  <c r="A18"/>
  <c r="B18" s="1"/>
  <c r="A19"/>
  <c r="B19" s="1"/>
  <c r="A20"/>
  <c r="B20" s="1"/>
  <c r="A21"/>
  <c r="B21" s="1"/>
  <c r="A2"/>
  <c r="C2" s="1"/>
  <c r="C3"/>
  <c r="C4"/>
  <c r="C5"/>
  <c r="H1" i="6"/>
  <c r="A3"/>
  <c r="B3" s="1"/>
  <c r="A4"/>
  <c r="B4" s="1"/>
  <c r="A5"/>
  <c r="B5" s="1"/>
  <c r="A6"/>
  <c r="B6" s="1"/>
  <c r="A7"/>
  <c r="B7" s="1"/>
  <c r="A8"/>
  <c r="B8" s="1"/>
  <c r="A9"/>
  <c r="C9" s="1"/>
  <c r="A10"/>
  <c r="C10" s="1"/>
  <c r="A11"/>
  <c r="C11" s="1"/>
  <c r="A2"/>
  <c r="C2" s="1"/>
  <c r="C3"/>
  <c r="H2" i="5"/>
  <c r="I2" s="1"/>
  <c r="B2"/>
  <c r="E2" s="1"/>
  <c r="C2"/>
  <c r="D2" s="1"/>
  <c r="A3"/>
  <c r="H3" s="1"/>
  <c r="E3" i="1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2"/>
  <c r="F2"/>
  <c r="B3" i="4"/>
  <c r="B4"/>
  <c r="B5"/>
  <c r="B2"/>
  <c r="C2" s="1"/>
  <c r="D2" s="1"/>
  <c r="E2" s="1"/>
  <c r="F2" s="1"/>
  <c r="C5"/>
  <c r="D5" s="1"/>
  <c r="E5" s="1"/>
  <c r="F5" s="1"/>
  <c r="C4"/>
  <c r="D4" s="1"/>
  <c r="E4" s="1"/>
  <c r="F4" s="1"/>
  <c r="C3"/>
  <c r="D3" s="1"/>
  <c r="E3" s="1"/>
  <c r="F3" s="1"/>
  <c r="F3" i="1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2"/>
  <c r="F2" i="5"/>
  <c r="H2" i="7" l="1"/>
  <c r="C6" i="6"/>
  <c r="F61" i="8"/>
  <c r="F62"/>
  <c r="F65"/>
  <c r="C8" i="6"/>
  <c r="C7"/>
  <c r="C5"/>
  <c r="C20" i="7"/>
  <c r="C18"/>
  <c r="C16"/>
  <c r="C14"/>
  <c r="C12"/>
  <c r="C10"/>
  <c r="C8"/>
  <c r="C6"/>
  <c r="C21"/>
  <c r="C19"/>
  <c r="C17"/>
  <c r="C15"/>
  <c r="C13"/>
  <c r="C11"/>
  <c r="C9"/>
  <c r="C7"/>
  <c r="C4" i="6"/>
  <c r="A23" i="7"/>
  <c r="B10" i="6"/>
  <c r="B5" i="7"/>
  <c r="B3"/>
  <c r="B2"/>
  <c r="B4"/>
  <c r="B9" i="6"/>
  <c r="B11"/>
  <c r="B2"/>
  <c r="I3" i="5"/>
  <c r="C3"/>
  <c r="D3" s="1"/>
  <c r="A4"/>
  <c r="B3"/>
  <c r="G2"/>
  <c r="F3"/>
  <c r="C13" i="6"/>
  <c r="B13"/>
  <c r="G2" i="7" l="1"/>
  <c r="I3"/>
  <c r="H3" s="1"/>
  <c r="C23"/>
  <c r="B23"/>
  <c r="B14" i="6"/>
  <c r="B15" s="1"/>
  <c r="G3" i="5"/>
  <c r="A5"/>
  <c r="C4"/>
  <c r="D4" s="1"/>
  <c r="H4"/>
  <c r="I4" s="1"/>
  <c r="B4"/>
  <c r="E3"/>
  <c r="F4"/>
  <c r="G3" i="7" l="1"/>
  <c r="I4"/>
  <c r="H4" s="1"/>
  <c r="E23"/>
  <c r="G4" i="5"/>
  <c r="A6"/>
  <c r="H5"/>
  <c r="B5"/>
  <c r="C5"/>
  <c r="D5" s="1"/>
  <c r="E4"/>
  <c r="F5"/>
  <c r="I5" i="7" l="1"/>
  <c r="H5" s="1"/>
  <c r="G4"/>
  <c r="G5" i="5"/>
  <c r="E5"/>
  <c r="A7"/>
  <c r="C6"/>
  <c r="D6" s="1"/>
  <c r="H6"/>
  <c r="B6"/>
  <c r="I5"/>
  <c r="F6"/>
  <c r="I6" i="7" l="1"/>
  <c r="H6" s="1"/>
  <c r="G5"/>
  <c r="G6" i="5"/>
  <c r="E6"/>
  <c r="A8"/>
  <c r="H7"/>
  <c r="B7"/>
  <c r="C7"/>
  <c r="D7" s="1"/>
  <c r="I6"/>
  <c r="F7"/>
  <c r="I7" i="7" l="1"/>
  <c r="H7" s="1"/>
  <c r="G6"/>
  <c r="G7" i="5"/>
  <c r="E7"/>
  <c r="A9"/>
  <c r="C8"/>
  <c r="D8" s="1"/>
  <c r="H8"/>
  <c r="I8" s="1"/>
  <c r="B8"/>
  <c r="I7"/>
  <c r="F8"/>
  <c r="I8" i="7" l="1"/>
  <c r="H8" s="1"/>
  <c r="G7"/>
  <c r="G8" i="5"/>
  <c r="A10"/>
  <c r="H9"/>
  <c r="B9"/>
  <c r="C9"/>
  <c r="D9" s="1"/>
  <c r="E8"/>
  <c r="F9"/>
  <c r="I9" i="7" l="1"/>
  <c r="H9" s="1"/>
  <c r="G8"/>
  <c r="G9" i="5"/>
  <c r="E9"/>
  <c r="A11"/>
  <c r="C10"/>
  <c r="D10" s="1"/>
  <c r="H10"/>
  <c r="B10"/>
  <c r="I9"/>
  <c r="F10"/>
  <c r="I10" i="7" l="1"/>
  <c r="H10" s="1"/>
  <c r="G9"/>
  <c r="G10" i="5"/>
  <c r="A12"/>
  <c r="H11"/>
  <c r="B11"/>
  <c r="C11"/>
  <c r="D11" s="1"/>
  <c r="I10"/>
  <c r="E10"/>
  <c r="F11"/>
  <c r="I11" i="7" l="1"/>
  <c r="H11" s="1"/>
  <c r="G10"/>
  <c r="G11" i="5"/>
  <c r="I11"/>
  <c r="E11"/>
  <c r="A13"/>
  <c r="C12"/>
  <c r="D12" s="1"/>
  <c r="H12"/>
  <c r="I12" s="1"/>
  <c r="B12"/>
  <c r="F12"/>
  <c r="I12" i="7" l="1"/>
  <c r="H12" s="1"/>
  <c r="G11"/>
  <c r="G12" i="5"/>
  <c r="E12"/>
  <c r="A14"/>
  <c r="H13"/>
  <c r="B13"/>
  <c r="C13"/>
  <c r="D13" s="1"/>
  <c r="F13"/>
  <c r="I13" i="7" l="1"/>
  <c r="H13" s="1"/>
  <c r="G12"/>
  <c r="G13" i="5"/>
  <c r="E13"/>
  <c r="A15"/>
  <c r="C14"/>
  <c r="D14" s="1"/>
  <c r="H14"/>
  <c r="B14"/>
  <c r="I13"/>
  <c r="F14"/>
  <c r="I14" i="7" l="1"/>
  <c r="H14" s="1"/>
  <c r="G13"/>
  <c r="G14" i="5"/>
  <c r="A16"/>
  <c r="H15"/>
  <c r="B15"/>
  <c r="C15"/>
  <c r="D15" s="1"/>
  <c r="I14"/>
  <c r="E14"/>
  <c r="F15"/>
  <c r="I15" i="7" l="1"/>
  <c r="H15" s="1"/>
  <c r="G14"/>
  <c r="G15" i="5"/>
  <c r="E15"/>
  <c r="A17"/>
  <c r="C16"/>
  <c r="D16" s="1"/>
  <c r="H16"/>
  <c r="B16"/>
  <c r="I15"/>
  <c r="F16"/>
  <c r="I16" i="7" l="1"/>
  <c r="H16" s="1"/>
  <c r="G15"/>
  <c r="G16" i="5"/>
  <c r="A18"/>
  <c r="H17"/>
  <c r="B17"/>
  <c r="C17"/>
  <c r="D17" s="1"/>
  <c r="I16"/>
  <c r="E16"/>
  <c r="F17"/>
  <c r="I17" i="7" l="1"/>
  <c r="H17" s="1"/>
  <c r="G16"/>
  <c r="G17" i="5"/>
  <c r="E17"/>
  <c r="I17"/>
  <c r="A19"/>
  <c r="C18"/>
  <c r="D18" s="1"/>
  <c r="H18"/>
  <c r="I18" s="1"/>
  <c r="B18"/>
  <c r="F18"/>
  <c r="I18" i="7" l="1"/>
  <c r="H18" s="1"/>
  <c r="G17"/>
  <c r="G18" i="5"/>
  <c r="A20"/>
  <c r="H19"/>
  <c r="B19"/>
  <c r="C19"/>
  <c r="D19" s="1"/>
  <c r="E18"/>
  <c r="F19"/>
  <c r="I19" i="7" l="1"/>
  <c r="H19" s="1"/>
  <c r="G18"/>
  <c r="G19" i="5"/>
  <c r="E19"/>
  <c r="C20"/>
  <c r="D20" s="1"/>
  <c r="A21"/>
  <c r="H20"/>
  <c r="I20" s="1"/>
  <c r="B20"/>
  <c r="I19"/>
  <c r="F20"/>
  <c r="I20" i="7" l="1"/>
  <c r="H20" s="1"/>
  <c r="G19"/>
  <c r="G20" i="5"/>
  <c r="E20"/>
  <c r="H21"/>
  <c r="B21"/>
  <c r="A22"/>
  <c r="C21"/>
  <c r="D21" s="1"/>
  <c r="F21"/>
  <c r="I21" i="7" l="1"/>
  <c r="H21" s="1"/>
  <c r="G21" s="1"/>
  <c r="G20"/>
  <c r="G21" i="5"/>
  <c r="E21"/>
  <c r="C22"/>
  <c r="D22" s="1"/>
  <c r="H22"/>
  <c r="I22" s="1"/>
  <c r="B22"/>
  <c r="I21"/>
  <c r="F22"/>
  <c r="G22" l="1"/>
  <c r="E22"/>
</calcChain>
</file>

<file path=xl/comments1.xml><?xml version="1.0" encoding="utf-8"?>
<comments xmlns="http://schemas.openxmlformats.org/spreadsheetml/2006/main">
  <authors>
    <author>Zimmer András</author>
  </authors>
  <commentList>
    <comment ref="F1" authorId="0">
      <text>
        <r>
          <rPr>
            <b/>
            <sz val="9"/>
            <color indexed="81"/>
            <rFont val="Tahoma"/>
            <family val="2"/>
            <charset val="238"/>
          </rPr>
          <t>Zimmer András:</t>
        </r>
        <r>
          <rPr>
            <sz val="9"/>
            <color indexed="81"/>
            <rFont val="Tahoma"/>
            <family val="2"/>
            <charset val="238"/>
          </rPr>
          <t xml:space="preserve">
http://www.convict.lu/Jeunes/Math/arctan.htm</t>
        </r>
      </text>
    </comment>
  </commentList>
</comments>
</file>

<file path=xl/sharedStrings.xml><?xml version="1.0" encoding="utf-8"?>
<sst xmlns="http://schemas.openxmlformats.org/spreadsheetml/2006/main" count="50" uniqueCount="35">
  <si>
    <t>Számított fok</t>
  </si>
  <si>
    <t>SIN</t>
  </si>
  <si>
    <t>Visszaszámított fok</t>
  </si>
  <si>
    <t>Hiba</t>
  </si>
  <si>
    <t>Leolvasott 8 bites érték</t>
  </si>
  <si>
    <t>Tárolt SIN érték (8 bites)</t>
  </si>
  <si>
    <t>Leolvasott 4 bites érték</t>
  </si>
  <si>
    <t>y/x</t>
  </si>
  <si>
    <t>atan</t>
  </si>
  <si>
    <t>atan45_float_polinom</t>
  </si>
  <si>
    <t>Rx=y/x*100</t>
  </si>
  <si>
    <t>atan45_int_polinom</t>
  </si>
  <si>
    <t>hiba (fok)</t>
  </si>
  <si>
    <t>Lineáris</t>
  </si>
  <si>
    <t>Bemenő leolvasott érték</t>
  </si>
  <si>
    <t>COS</t>
  </si>
  <si>
    <t>Átlag</t>
  </si>
  <si>
    <t>ATAN45</t>
  </si>
  <si>
    <t>atan45 tábla</t>
  </si>
  <si>
    <t>Közép</t>
  </si>
  <si>
    <t>Szórás</t>
  </si>
  <si>
    <t>fok</t>
  </si>
  <si>
    <t>sin</t>
  </si>
  <si>
    <t>cos</t>
  </si>
  <si>
    <t>degrees</t>
  </si>
  <si>
    <t>Tárolt SIN érték (9 bites)</t>
  </si>
  <si>
    <t>Átlagolandó értékek száma</t>
  </si>
  <si>
    <t>Ábrázolási pontosság (bit -- előjel nélkül)</t>
  </si>
  <si>
    <t>Összegzett érték mérete</t>
  </si>
  <si>
    <t>Legnagyobb számítás közbeni érték</t>
  </si>
  <si>
    <t>bit</t>
  </si>
  <si>
    <t>=&gt;</t>
  </si>
  <si>
    <t>avg_angle</t>
  </si>
  <si>
    <t>D(i)</t>
  </si>
  <si>
    <t>delta(i)</t>
  </si>
</sst>
</file>

<file path=xl/styles.xml><?xml version="1.0" encoding="utf-8"?>
<styleSheet xmlns="http://schemas.openxmlformats.org/spreadsheetml/2006/main">
  <numFmts count="1">
    <numFmt numFmtId="164" formatCode="0.0"/>
  </numFmts>
  <fonts count="4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9" fontId="0" fillId="0" borderId="0" xfId="1" applyFont="1"/>
    <xf numFmtId="0" fontId="0" fillId="0" borderId="0" xfId="0" quotePrefix="1" applyAlignment="1">
      <alignment horizontal="center"/>
    </xf>
  </cellXfs>
  <cellStyles count="2">
    <cellStyle name="Normál" xfId="0" builtinId="0"/>
    <cellStyle name="Százalék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hu-HU"/>
  <c:chart>
    <c:plotArea>
      <c:layout/>
      <c:barChart>
        <c:barDir val="col"/>
        <c:grouping val="clustered"/>
        <c:ser>
          <c:idx val="3"/>
          <c:order val="2"/>
          <c:tx>
            <c:strRef>
              <c:f>atan45!$I$1</c:f>
              <c:strCache>
                <c:ptCount val="1"/>
                <c:pt idx="0">
                  <c:v>Hiba</c:v>
                </c:pt>
              </c:strCache>
            </c:strRef>
          </c:tx>
          <c:cat>
            <c:numRef>
              <c:f>atan45!$A$2:$A$22</c:f>
              <c:numCache>
                <c:formatCode>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atan45!$I$2:$I$22</c:f>
              <c:numCache>
                <c:formatCode>General</c:formatCode>
                <c:ptCount val="21"/>
                <c:pt idx="0">
                  <c:v>0</c:v>
                </c:pt>
                <c:pt idx="1">
                  <c:v>-0.61240522611174786</c:v>
                </c:pt>
                <c:pt idx="2">
                  <c:v>-1.210593137499643</c:v>
                </c:pt>
                <c:pt idx="3">
                  <c:v>-1.7807656099481344</c:v>
                </c:pt>
                <c:pt idx="4">
                  <c:v>-2.309932474020215</c:v>
                </c:pt>
                <c:pt idx="5">
                  <c:v>-2.7862434679264787</c:v>
                </c:pt>
                <c:pt idx="6">
                  <c:v>-3.1992442339936211</c:v>
                </c:pt>
                <c:pt idx="7">
                  <c:v>-3.5400462191887367</c:v>
                </c:pt>
                <c:pt idx="8">
                  <c:v>-3.8014094863518118</c:v>
                </c:pt>
                <c:pt idx="9">
                  <c:v>-3.9777453179541702</c:v>
                </c:pt>
                <c:pt idx="10">
                  <c:v>-4.0650511770779936</c:v>
                </c:pt>
                <c:pt idx="11">
                  <c:v>-4.0607937429730612</c:v>
                </c:pt>
                <c:pt idx="12">
                  <c:v>-3.9637565320735213</c:v>
                </c:pt>
                <c:pt idx="13">
                  <c:v>-3.7738675557966488</c:v>
                </c:pt>
                <c:pt idx="14">
                  <c:v>-3.4920201985586665</c:v>
                </c:pt>
                <c:pt idx="15">
                  <c:v>-3.11989764584402</c:v>
                </c:pt>
                <c:pt idx="16">
                  <c:v>-2.6598082540900876</c:v>
                </c:pt>
                <c:pt idx="17">
                  <c:v>-2.1145365730973609</c:v>
                </c:pt>
                <c:pt idx="18">
                  <c:v>-1.4872124958166566</c:v>
                </c:pt>
                <c:pt idx="19">
                  <c:v>-0.7811992856141714</c:v>
                </c:pt>
                <c:pt idx="20">
                  <c:v>0</c:v>
                </c:pt>
              </c:numCache>
            </c:numRef>
          </c:val>
        </c:ser>
        <c:axId val="61627776"/>
        <c:axId val="61626240"/>
      </c:barChart>
      <c:lineChart>
        <c:grouping val="standard"/>
        <c:ser>
          <c:idx val="0"/>
          <c:order val="0"/>
          <c:tx>
            <c:strRef>
              <c:f>atan45!$C$1</c:f>
              <c:strCache>
                <c:ptCount val="1"/>
                <c:pt idx="0">
                  <c:v>atan</c:v>
                </c:pt>
              </c:strCache>
            </c:strRef>
          </c:tx>
          <c:marker>
            <c:symbol val="none"/>
          </c:marker>
          <c:cat>
            <c:numRef>
              <c:f>atan45!$A$2:$A$22</c:f>
              <c:numCache>
                <c:formatCode>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atan45!$C$2:$C$22</c:f>
              <c:numCache>
                <c:formatCode>General</c:formatCode>
                <c:ptCount val="21"/>
                <c:pt idx="0">
                  <c:v>0</c:v>
                </c:pt>
                <c:pt idx="1">
                  <c:v>2.8624052261117479</c:v>
                </c:pt>
                <c:pt idx="2">
                  <c:v>5.710593137499643</c:v>
                </c:pt>
                <c:pt idx="3">
                  <c:v>8.5307656099481353</c:v>
                </c:pt>
                <c:pt idx="4">
                  <c:v>11.309932474020215</c:v>
                </c:pt>
                <c:pt idx="5">
                  <c:v>14.036243467926479</c:v>
                </c:pt>
                <c:pt idx="6">
                  <c:v>16.699244233993621</c:v>
                </c:pt>
                <c:pt idx="7">
                  <c:v>19.290046219188735</c:v>
                </c:pt>
                <c:pt idx="8">
                  <c:v>21.801409486351812</c:v>
                </c:pt>
                <c:pt idx="9">
                  <c:v>24.227745317954167</c:v>
                </c:pt>
                <c:pt idx="10">
                  <c:v>26.56505117707799</c:v>
                </c:pt>
                <c:pt idx="11">
                  <c:v>28.810793742973058</c:v>
                </c:pt>
                <c:pt idx="12">
                  <c:v>30.963756532073521</c:v>
                </c:pt>
                <c:pt idx="13">
                  <c:v>33.023867555796649</c:v>
                </c:pt>
                <c:pt idx="14">
                  <c:v>34.99202019855867</c:v>
                </c:pt>
                <c:pt idx="15">
                  <c:v>36.869897645844027</c:v>
                </c:pt>
                <c:pt idx="16">
                  <c:v>38.659808254090095</c:v>
                </c:pt>
                <c:pt idx="17">
                  <c:v>40.364536573097368</c:v>
                </c:pt>
                <c:pt idx="18">
                  <c:v>41.987212495816671</c:v>
                </c:pt>
                <c:pt idx="19">
                  <c:v>43.531199285614186</c:v>
                </c:pt>
                <c:pt idx="20">
                  <c:v>45.000000000000007</c:v>
                </c:pt>
              </c:numCache>
            </c:numRef>
          </c:val>
        </c:ser>
        <c:ser>
          <c:idx val="2"/>
          <c:order val="1"/>
          <c:tx>
            <c:strRef>
              <c:f>atan45!$H$1</c:f>
              <c:strCache>
                <c:ptCount val="1"/>
                <c:pt idx="0">
                  <c:v>Lineáris</c:v>
                </c:pt>
              </c:strCache>
            </c:strRef>
          </c:tx>
          <c:marker>
            <c:symbol val="none"/>
          </c:marker>
          <c:cat>
            <c:numRef>
              <c:f>atan45!$A$2:$A$22</c:f>
              <c:numCache>
                <c:formatCode>0%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cat>
          <c:val>
            <c:numRef>
              <c:f>atan45!$H$2:$H$22</c:f>
              <c:numCache>
                <c:formatCode>General</c:formatCode>
                <c:ptCount val="21"/>
                <c:pt idx="0">
                  <c:v>0</c:v>
                </c:pt>
                <c:pt idx="1">
                  <c:v>2.25</c:v>
                </c:pt>
                <c:pt idx="2">
                  <c:v>4.5</c:v>
                </c:pt>
                <c:pt idx="3">
                  <c:v>6.7500000000000009</c:v>
                </c:pt>
                <c:pt idx="4">
                  <c:v>9</c:v>
                </c:pt>
                <c:pt idx="5">
                  <c:v>11.25</c:v>
                </c:pt>
                <c:pt idx="6">
                  <c:v>13.5</c:v>
                </c:pt>
                <c:pt idx="7">
                  <c:v>15.749999999999998</c:v>
                </c:pt>
                <c:pt idx="8">
                  <c:v>18</c:v>
                </c:pt>
                <c:pt idx="9">
                  <c:v>20.249999999999996</c:v>
                </c:pt>
                <c:pt idx="10">
                  <c:v>22.499999999999996</c:v>
                </c:pt>
                <c:pt idx="11">
                  <c:v>24.749999999999996</c:v>
                </c:pt>
                <c:pt idx="12">
                  <c:v>27</c:v>
                </c:pt>
                <c:pt idx="13">
                  <c:v>29.25</c:v>
                </c:pt>
                <c:pt idx="14">
                  <c:v>31.500000000000004</c:v>
                </c:pt>
                <c:pt idx="15">
                  <c:v>33.750000000000007</c:v>
                </c:pt>
                <c:pt idx="16">
                  <c:v>36.000000000000007</c:v>
                </c:pt>
                <c:pt idx="17">
                  <c:v>38.250000000000007</c:v>
                </c:pt>
                <c:pt idx="18">
                  <c:v>40.500000000000014</c:v>
                </c:pt>
                <c:pt idx="19">
                  <c:v>42.750000000000014</c:v>
                </c:pt>
                <c:pt idx="20">
                  <c:v>45.000000000000007</c:v>
                </c:pt>
              </c:numCache>
            </c:numRef>
          </c:val>
        </c:ser>
        <c:marker val="1"/>
        <c:axId val="61610624"/>
        <c:axId val="61624704"/>
      </c:lineChart>
      <c:catAx>
        <c:axId val="61610624"/>
        <c:scaling>
          <c:orientation val="minMax"/>
        </c:scaling>
        <c:axPos val="b"/>
        <c:numFmt formatCode="0%" sourceLinked="1"/>
        <c:tickLblPos val="nextTo"/>
        <c:crossAx val="61624704"/>
        <c:crosses val="autoZero"/>
        <c:auto val="1"/>
        <c:lblAlgn val="ctr"/>
        <c:lblOffset val="100"/>
      </c:catAx>
      <c:valAx>
        <c:axId val="61624704"/>
        <c:scaling>
          <c:orientation val="minMax"/>
        </c:scaling>
        <c:axPos val="l"/>
        <c:majorGridlines/>
        <c:numFmt formatCode="General" sourceLinked="1"/>
        <c:tickLblPos val="nextTo"/>
        <c:crossAx val="61610624"/>
        <c:crosses val="autoZero"/>
        <c:crossBetween val="between"/>
      </c:valAx>
      <c:valAx>
        <c:axId val="61626240"/>
        <c:scaling>
          <c:orientation val="minMax"/>
          <c:max val="4.5"/>
        </c:scaling>
        <c:axPos val="r"/>
        <c:numFmt formatCode="General" sourceLinked="1"/>
        <c:tickLblPos val="nextTo"/>
        <c:crossAx val="61627776"/>
        <c:crosses val="max"/>
        <c:crossBetween val="between"/>
      </c:valAx>
      <c:catAx>
        <c:axId val="61627776"/>
        <c:scaling>
          <c:orientation val="minMax"/>
        </c:scaling>
        <c:delete val="1"/>
        <c:axPos val="b"/>
        <c:numFmt formatCode="0%" sourceLinked="1"/>
        <c:tickLblPos val="none"/>
        <c:crossAx val="61626240"/>
        <c:crossesAt val="0"/>
        <c:auto val="1"/>
        <c:lblAlgn val="ctr"/>
        <c:lblOffset val="100"/>
      </c:catAx>
    </c:plotArea>
    <c:legend>
      <c:legendPos val="b"/>
    </c:legend>
    <c:plotVisOnly val="1"/>
    <c:dispBlanksAs val="zero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2</xdr:row>
      <xdr:rowOff>171449</xdr:rowOff>
    </xdr:from>
    <xdr:to>
      <xdr:col>13</xdr:col>
      <xdr:colOff>400050</xdr:colOff>
      <xdr:row>14</xdr:row>
      <xdr:rowOff>123824</xdr:rowOff>
    </xdr:to>
    <xdr:sp macro="" textlink="">
      <xdr:nvSpPr>
        <xdr:cNvPr id="2" name="Szövegdoboz 1"/>
        <xdr:cNvSpPr txBox="1"/>
      </xdr:nvSpPr>
      <xdr:spPr>
        <a:xfrm>
          <a:off x="6686550" y="552449"/>
          <a:ext cx="4543425" cy="22383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hu-HU" sz="1100" b="1"/>
            <a:t>Számítási</a:t>
          </a:r>
          <a:r>
            <a:rPr lang="hu-HU" sz="1100" b="1" baseline="0"/>
            <a:t> algoritmus:</a:t>
          </a:r>
        </a:p>
        <a:p>
          <a:r>
            <a:rPr lang="hu-HU" sz="1100" baseline="0"/>
            <a:t>- Leolvasott érték (x) alapján táblázatból SIN(x) és COS(x) meghatározás</a:t>
          </a:r>
        </a:p>
        <a:p>
          <a:r>
            <a:rPr lang="hu-HU" sz="1100" baseline="0"/>
            <a:t>- SIN(x)-ek és COS(x)-ek külön átlagolva (avg_s, avg_c)</a:t>
          </a:r>
        </a:p>
        <a:p>
          <a:r>
            <a:rPr lang="hu-HU" sz="1100" baseline="0"/>
            <a:t>- ATAN2(avg_s, avg_c)-t kell számolni; ez több lépéses:</a:t>
          </a:r>
        </a:p>
        <a:p>
          <a:r>
            <a:rPr lang="hu-HU" sz="1100" baseline="0"/>
            <a:t>  1) atan2(y,x)  visszavezethető arctan(y/x)-re (feltételekkel), ld. pl. http://en.wikipedia.org/wiki/Atan2</a:t>
          </a:r>
        </a:p>
        <a:p>
          <a:r>
            <a:rPr lang="hu-HU" sz="1100" baseline="0"/>
            <a:t>  2) arctan(y,x)  visszavezethető arctan45(y/x)-re (feltételekkel)</a:t>
          </a:r>
        </a:p>
        <a:p>
          <a:r>
            <a:rPr lang="hu-HU" sz="1100" baseline="0"/>
            <a:t>  3) arctan45(y/x) jól közelíthető gyorsan számítható polinommal; ez utóbbi kettőt ld. http://www.convict.lu/Jeunes/Math/arctan.htm</a:t>
          </a:r>
        </a:p>
        <a:p>
          <a:r>
            <a:rPr lang="hu-HU" sz="1100" baseline="0"/>
            <a:t>  </a:t>
          </a:r>
        </a:p>
        <a:p>
          <a:r>
            <a:rPr lang="hu-HU" sz="1100" baseline="0"/>
            <a:t>A nekünk szükséges mértékben az atan45(y/x) tárolható táblázatként is; sőt közelíthető lineárisan, mert a max. 4,5 fok körüli hiba akár el is fogadható.</a:t>
          </a:r>
          <a:endParaRPr lang="hu-H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2</xdr:row>
      <xdr:rowOff>171449</xdr:rowOff>
    </xdr:from>
    <xdr:to>
      <xdr:col>13</xdr:col>
      <xdr:colOff>400050</xdr:colOff>
      <xdr:row>14</xdr:row>
      <xdr:rowOff>123824</xdr:rowOff>
    </xdr:to>
    <xdr:sp macro="" textlink="">
      <xdr:nvSpPr>
        <xdr:cNvPr id="2" name="Szövegdoboz 1"/>
        <xdr:cNvSpPr txBox="1"/>
      </xdr:nvSpPr>
      <xdr:spPr>
        <a:xfrm>
          <a:off x="6686550" y="552449"/>
          <a:ext cx="4543425" cy="22383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hu-HU" sz="1100" b="1"/>
            <a:t>Számítási</a:t>
          </a:r>
          <a:r>
            <a:rPr lang="hu-HU" sz="1100" b="1" baseline="0"/>
            <a:t> algoritmus:</a:t>
          </a:r>
        </a:p>
        <a:p>
          <a:r>
            <a:rPr lang="hu-HU" sz="1100" baseline="0"/>
            <a:t>- Leolvasott érték (x) alapján táblázatból SIN(x) és COS(x) meghatározás</a:t>
          </a:r>
        </a:p>
        <a:p>
          <a:r>
            <a:rPr lang="hu-HU" sz="1100" baseline="0"/>
            <a:t>- SIN(x)-ek és COS(x)-ek külön átlagolva (avg_s, avg_c)</a:t>
          </a:r>
        </a:p>
        <a:p>
          <a:r>
            <a:rPr lang="hu-HU" sz="1100" baseline="0"/>
            <a:t>- ATAN2(avg_s, avg_c)-t kell számolni; ez több lépéses:</a:t>
          </a:r>
        </a:p>
        <a:p>
          <a:r>
            <a:rPr lang="hu-HU" sz="1100" baseline="0"/>
            <a:t>  1) atan2(y,x)  visszavezethető arctan(y/x)-re (feltételekkel), ld. pl. http://en.wikipedia.org/wiki/Atan2</a:t>
          </a:r>
        </a:p>
        <a:p>
          <a:r>
            <a:rPr lang="hu-HU" sz="1100" baseline="0"/>
            <a:t>  2) arctan(y,x)  visszavezethető arctan45(y/x)-re (feltételekkel)</a:t>
          </a:r>
        </a:p>
        <a:p>
          <a:r>
            <a:rPr lang="hu-HU" sz="1100" baseline="0"/>
            <a:t>  3) arctan45(y/x) jól közelíthető gyorsan számítható polinommal; ez utóbbi kettőt ld. http://www.convict.lu/Jeunes/Math/arctan.htm</a:t>
          </a:r>
        </a:p>
        <a:p>
          <a:r>
            <a:rPr lang="hu-HU" sz="1100" baseline="0"/>
            <a:t>  </a:t>
          </a:r>
        </a:p>
        <a:p>
          <a:r>
            <a:rPr lang="hu-HU" sz="1100" baseline="0"/>
            <a:t>A nekünk szükséges mértékben az atan45(y/x) tárolható táblázatként is; sőt közelíthető lineárisan, mert a max. 4,5 fok körüli hiba akár el is fogadható.</a:t>
          </a:r>
          <a:endParaRPr lang="hu-H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</xdr:row>
      <xdr:rowOff>161926</xdr:rowOff>
    </xdr:from>
    <xdr:to>
      <xdr:col>15</xdr:col>
      <xdr:colOff>76200</xdr:colOff>
      <xdr:row>16</xdr:row>
      <xdr:rowOff>19050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unka1"/>
  <dimension ref="A1:F257"/>
  <sheetViews>
    <sheetView workbookViewId="0">
      <selection activeCell="A2" sqref="A2"/>
    </sheetView>
  </sheetViews>
  <sheetFormatPr defaultRowHeight="15"/>
  <cols>
    <col min="1" max="1" width="17.28515625" customWidth="1"/>
    <col min="2" max="2" width="12.5703125" style="1" bestFit="1" customWidth="1"/>
    <col min="3" max="3" width="17" customWidth="1"/>
    <col min="4" max="4" width="22.85546875" bestFit="1" customWidth="1"/>
    <col min="5" max="5" width="19.5703125" customWidth="1"/>
  </cols>
  <sheetData>
    <row r="1" spans="1:6">
      <c r="A1" t="s">
        <v>4</v>
      </c>
      <c r="B1" s="1" t="s">
        <v>0</v>
      </c>
      <c r="C1" t="s">
        <v>1</v>
      </c>
      <c r="D1" t="s">
        <v>5</v>
      </c>
      <c r="E1" t="s">
        <v>2</v>
      </c>
      <c r="F1" t="s">
        <v>3</v>
      </c>
    </row>
    <row r="2" spans="1:6">
      <c r="A2">
        <v>0</v>
      </c>
      <c r="B2" s="1">
        <f>360/256*A2</f>
        <v>0</v>
      </c>
      <c r="C2">
        <f>SIN(RADIANS(B2))</f>
        <v>0</v>
      </c>
      <c r="D2">
        <f>ROUND(C2*255,0)</f>
        <v>0</v>
      </c>
      <c r="E2" s="1">
        <f>DEGREES(ASIN(D2/255))</f>
        <v>0</v>
      </c>
      <c r="F2" s="1">
        <f>E2-B2</f>
        <v>0</v>
      </c>
    </row>
    <row r="3" spans="1:6">
      <c r="A3">
        <v>1</v>
      </c>
      <c r="B3" s="1">
        <f t="shared" ref="B3:B65" si="0">360/256*A3</f>
        <v>1.40625</v>
      </c>
      <c r="C3">
        <f t="shared" ref="C3:C65" si="1">SIN(RADIANS(B3))</f>
        <v>2.4541228522912288E-2</v>
      </c>
      <c r="D3">
        <f t="shared" ref="D3:D65" si="2">ROUND(C3*255,0)</f>
        <v>6</v>
      </c>
      <c r="E3" s="1">
        <f t="shared" ref="E3:E65" si="3">DEGREES(ASIN(D3/255))</f>
        <v>1.3482604150221962</v>
      </c>
      <c r="F3" s="1">
        <f t="shared" ref="F3:F65" si="4">E3-B3</f>
        <v>-5.7989584977803821E-2</v>
      </c>
    </row>
    <row r="4" spans="1:6">
      <c r="A4">
        <v>2</v>
      </c>
      <c r="B4" s="1">
        <f t="shared" si="0"/>
        <v>2.8125</v>
      </c>
      <c r="C4">
        <f t="shared" si="1"/>
        <v>4.9067674327418015E-2</v>
      </c>
      <c r="D4">
        <f t="shared" si="2"/>
        <v>13</v>
      </c>
      <c r="E4" s="1">
        <f t="shared" si="3"/>
        <v>2.9222280538529093</v>
      </c>
      <c r="F4" s="1">
        <f t="shared" si="4"/>
        <v>0.10972805385290929</v>
      </c>
    </row>
    <row r="5" spans="1:6">
      <c r="A5">
        <v>3</v>
      </c>
      <c r="B5" s="1">
        <f t="shared" si="0"/>
        <v>4.21875</v>
      </c>
      <c r="C5">
        <f t="shared" si="1"/>
        <v>7.3564563599667426E-2</v>
      </c>
      <c r="D5">
        <f t="shared" si="2"/>
        <v>19</v>
      </c>
      <c r="E5" s="1">
        <f t="shared" si="3"/>
        <v>4.2730573306038488</v>
      </c>
      <c r="F5" s="1">
        <f t="shared" si="4"/>
        <v>5.4307330603848847E-2</v>
      </c>
    </row>
    <row r="6" spans="1:6">
      <c r="A6">
        <v>4</v>
      </c>
      <c r="B6" s="1">
        <f t="shared" si="0"/>
        <v>5.625</v>
      </c>
      <c r="C6">
        <f t="shared" si="1"/>
        <v>9.8017140329560604E-2</v>
      </c>
      <c r="D6">
        <f t="shared" si="2"/>
        <v>25</v>
      </c>
      <c r="E6" s="1">
        <f t="shared" si="3"/>
        <v>5.6262709461056089</v>
      </c>
      <c r="F6" s="1">
        <f t="shared" si="4"/>
        <v>1.27094610560885E-3</v>
      </c>
    </row>
    <row r="7" spans="1:6">
      <c r="A7">
        <v>5</v>
      </c>
      <c r="B7" s="1">
        <f t="shared" si="0"/>
        <v>7.03125</v>
      </c>
      <c r="C7">
        <f t="shared" si="1"/>
        <v>0.1224106751992162</v>
      </c>
      <c r="D7">
        <f t="shared" si="2"/>
        <v>31</v>
      </c>
      <c r="E7" s="1">
        <f t="shared" si="3"/>
        <v>6.9826411751486539</v>
      </c>
      <c r="F7" s="1">
        <f t="shared" si="4"/>
        <v>-4.86088248513461E-2</v>
      </c>
    </row>
    <row r="8" spans="1:6">
      <c r="A8">
        <v>6</v>
      </c>
      <c r="B8" s="1">
        <f t="shared" si="0"/>
        <v>8.4375</v>
      </c>
      <c r="C8">
        <f t="shared" si="1"/>
        <v>0.14673047445536175</v>
      </c>
      <c r="D8">
        <f t="shared" si="2"/>
        <v>37</v>
      </c>
      <c r="E8" s="1">
        <f t="shared" si="3"/>
        <v>8.3429564623693473</v>
      </c>
      <c r="F8" s="1">
        <f t="shared" si="4"/>
        <v>-9.4543537630652708E-2</v>
      </c>
    </row>
    <row r="9" spans="1:6">
      <c r="A9">
        <v>7</v>
      </c>
      <c r="B9" s="1">
        <f t="shared" si="0"/>
        <v>9.84375</v>
      </c>
      <c r="C9">
        <f t="shared" si="1"/>
        <v>0.17096188876030122</v>
      </c>
      <c r="D9">
        <f t="shared" si="2"/>
        <v>44</v>
      </c>
      <c r="E9" s="1">
        <f t="shared" si="3"/>
        <v>9.9360576367139366</v>
      </c>
      <c r="F9" s="1">
        <f t="shared" si="4"/>
        <v>9.2307636713936603E-2</v>
      </c>
    </row>
    <row r="10" spans="1:6">
      <c r="A10">
        <v>8</v>
      </c>
      <c r="B10" s="1">
        <f t="shared" si="0"/>
        <v>11.25</v>
      </c>
      <c r="C10">
        <f t="shared" si="1"/>
        <v>0.19509032201612825</v>
      </c>
      <c r="D10">
        <f t="shared" si="2"/>
        <v>50</v>
      </c>
      <c r="E10" s="1">
        <f t="shared" si="3"/>
        <v>11.30772943413735</v>
      </c>
      <c r="F10" s="1">
        <f t="shared" si="4"/>
        <v>5.7729434137350211E-2</v>
      </c>
    </row>
    <row r="11" spans="1:6">
      <c r="A11">
        <v>9</v>
      </c>
      <c r="B11" s="1">
        <f t="shared" si="0"/>
        <v>12.65625</v>
      </c>
      <c r="C11">
        <f t="shared" si="1"/>
        <v>0.2191012401568698</v>
      </c>
      <c r="D11">
        <f t="shared" si="2"/>
        <v>56</v>
      </c>
      <c r="E11" s="1">
        <f t="shared" si="3"/>
        <v>12.68600078707056</v>
      </c>
      <c r="F11" s="1">
        <f t="shared" si="4"/>
        <v>2.9750787070559781E-2</v>
      </c>
    </row>
    <row r="12" spans="1:6">
      <c r="A12">
        <v>10</v>
      </c>
      <c r="B12" s="1">
        <f t="shared" si="0"/>
        <v>14.0625</v>
      </c>
      <c r="C12">
        <f t="shared" si="1"/>
        <v>0.24298017990326387</v>
      </c>
      <c r="D12">
        <f t="shared" si="2"/>
        <v>62</v>
      </c>
      <c r="E12" s="1">
        <f t="shared" si="3"/>
        <v>14.071777966073407</v>
      </c>
      <c r="F12" s="1">
        <f t="shared" si="4"/>
        <v>9.2779660734070291E-3</v>
      </c>
    </row>
    <row r="13" spans="1:6">
      <c r="A13">
        <v>11</v>
      </c>
      <c r="B13" s="1">
        <f t="shared" si="0"/>
        <v>15.46875</v>
      </c>
      <c r="C13">
        <f t="shared" si="1"/>
        <v>0.26671275747489842</v>
      </c>
      <c r="D13">
        <f t="shared" si="2"/>
        <v>68</v>
      </c>
      <c r="E13" s="1">
        <f t="shared" si="3"/>
        <v>15.466009953420551</v>
      </c>
      <c r="F13" s="1">
        <f t="shared" si="4"/>
        <v>-2.7400465794489293E-3</v>
      </c>
    </row>
    <row r="14" spans="1:6">
      <c r="A14">
        <v>12</v>
      </c>
      <c r="B14" s="1">
        <f t="shared" si="0"/>
        <v>16.875</v>
      </c>
      <c r="C14">
        <f t="shared" si="1"/>
        <v>0.29028467725446233</v>
      </c>
      <c r="D14">
        <f t="shared" si="2"/>
        <v>74</v>
      </c>
      <c r="E14" s="1">
        <f t="shared" si="3"/>
        <v>16.869695314674498</v>
      </c>
      <c r="F14" s="1">
        <f t="shared" si="4"/>
        <v>-5.3046853255018789E-3</v>
      </c>
    </row>
    <row r="15" spans="1:6">
      <c r="A15">
        <v>13</v>
      </c>
      <c r="B15" s="1">
        <f t="shared" si="0"/>
        <v>18.28125</v>
      </c>
      <c r="C15">
        <f t="shared" si="1"/>
        <v>0.31368174039889152</v>
      </c>
      <c r="D15">
        <f t="shared" si="2"/>
        <v>80</v>
      </c>
      <c r="E15" s="1">
        <f t="shared" si="3"/>
        <v>18.283889940407388</v>
      </c>
      <c r="F15" s="1">
        <f t="shared" si="4"/>
        <v>2.6399404073877974E-3</v>
      </c>
    </row>
    <row r="16" spans="1:6">
      <c r="A16">
        <v>14</v>
      </c>
      <c r="B16" s="1">
        <f t="shared" si="0"/>
        <v>19.6875</v>
      </c>
      <c r="C16">
        <f t="shared" si="1"/>
        <v>0.33688985339222005</v>
      </c>
      <c r="D16">
        <f t="shared" si="2"/>
        <v>86</v>
      </c>
      <c r="E16" s="1">
        <f t="shared" si="3"/>
        <v>19.709715841585826</v>
      </c>
      <c r="F16" s="1">
        <f t="shared" si="4"/>
        <v>2.2215841585826013E-2</v>
      </c>
    </row>
    <row r="17" spans="1:6">
      <c r="A17">
        <v>15</v>
      </c>
      <c r="B17" s="1">
        <f t="shared" si="0"/>
        <v>21.09375</v>
      </c>
      <c r="C17">
        <f t="shared" si="1"/>
        <v>0.35989503653498817</v>
      </c>
      <c r="D17">
        <f t="shared" si="2"/>
        <v>92</v>
      </c>
      <c r="E17" s="1">
        <f t="shared" si="3"/>
        <v>21.148371222966354</v>
      </c>
      <c r="F17" s="1">
        <f t="shared" si="4"/>
        <v>5.4621222966353855E-2</v>
      </c>
    </row>
    <row r="18" spans="1:6">
      <c r="A18">
        <v>16</v>
      </c>
      <c r="B18" s="1">
        <f t="shared" si="0"/>
        <v>22.5</v>
      </c>
      <c r="C18">
        <f t="shared" si="1"/>
        <v>0.38268343236508978</v>
      </c>
      <c r="D18">
        <f t="shared" si="2"/>
        <v>98</v>
      </c>
      <c r="E18" s="1">
        <f t="shared" si="3"/>
        <v>22.601142111371402</v>
      </c>
      <c r="F18" s="1">
        <f t="shared" si="4"/>
        <v>0.10114211137140217</v>
      </c>
    </row>
    <row r="19" spans="1:6">
      <c r="A19">
        <v>17</v>
      </c>
      <c r="B19" s="1">
        <f t="shared" si="0"/>
        <v>23.90625</v>
      </c>
      <c r="C19">
        <f t="shared" si="1"/>
        <v>0.40524131400498986</v>
      </c>
      <c r="D19">
        <f t="shared" si="2"/>
        <v>103</v>
      </c>
      <c r="E19" s="1">
        <f t="shared" si="3"/>
        <v>23.823564721160128</v>
      </c>
      <c r="F19" s="1">
        <f t="shared" si="4"/>
        <v>-8.2685278839871756E-2</v>
      </c>
    </row>
    <row r="20" spans="1:6">
      <c r="A20">
        <v>18</v>
      </c>
      <c r="B20" s="1">
        <f t="shared" si="0"/>
        <v>25.3125</v>
      </c>
      <c r="C20">
        <f t="shared" si="1"/>
        <v>0.42755509343028208</v>
      </c>
      <c r="D20">
        <f t="shared" si="2"/>
        <v>109</v>
      </c>
      <c r="E20" s="1">
        <f t="shared" si="3"/>
        <v>25.305901387299535</v>
      </c>
      <c r="F20" s="1">
        <f t="shared" si="4"/>
        <v>-6.598612700464912E-3</v>
      </c>
    </row>
    <row r="21" spans="1:6">
      <c r="A21">
        <v>19</v>
      </c>
      <c r="B21" s="1">
        <f t="shared" si="0"/>
        <v>26.71875</v>
      </c>
      <c r="C21">
        <f t="shared" si="1"/>
        <v>0.4496113296546066</v>
      </c>
      <c r="D21">
        <f t="shared" si="2"/>
        <v>115</v>
      </c>
      <c r="E21" s="1">
        <f t="shared" si="3"/>
        <v>26.806602308041416</v>
      </c>
      <c r="F21" s="1">
        <f t="shared" si="4"/>
        <v>8.7852308041416194E-2</v>
      </c>
    </row>
    <row r="22" spans="1:6">
      <c r="A22">
        <v>20</v>
      </c>
      <c r="B22" s="1">
        <f t="shared" si="0"/>
        <v>28.125</v>
      </c>
      <c r="C22">
        <f t="shared" si="1"/>
        <v>0.47139673682599764</v>
      </c>
      <c r="D22">
        <f t="shared" si="2"/>
        <v>120</v>
      </c>
      <c r="E22" s="1">
        <f t="shared" si="3"/>
        <v>28.072486935852957</v>
      </c>
      <c r="F22" s="1">
        <f t="shared" si="4"/>
        <v>-5.2513064147042599E-2</v>
      </c>
    </row>
    <row r="23" spans="1:6">
      <c r="A23">
        <v>21</v>
      </c>
      <c r="B23" s="1">
        <f t="shared" si="0"/>
        <v>29.53125</v>
      </c>
      <c r="C23">
        <f t="shared" si="1"/>
        <v>0.49289819222978404</v>
      </c>
      <c r="D23">
        <f t="shared" si="2"/>
        <v>126</v>
      </c>
      <c r="E23" s="1">
        <f t="shared" si="3"/>
        <v>29.611583802778043</v>
      </c>
      <c r="F23" s="1">
        <f t="shared" si="4"/>
        <v>8.0333802778042696E-2</v>
      </c>
    </row>
    <row r="24" spans="1:6">
      <c r="A24">
        <v>22</v>
      </c>
      <c r="B24" s="1">
        <f t="shared" si="0"/>
        <v>30.9375</v>
      </c>
      <c r="C24">
        <f t="shared" si="1"/>
        <v>0.51410274419322177</v>
      </c>
      <c r="D24">
        <f t="shared" si="2"/>
        <v>131</v>
      </c>
      <c r="E24" s="1">
        <f t="shared" si="3"/>
        <v>30.912302969240013</v>
      </c>
      <c r="F24" s="1">
        <f t="shared" si="4"/>
        <v>-2.5197030759986916E-2</v>
      </c>
    </row>
    <row r="25" spans="1:6">
      <c r="A25">
        <v>23</v>
      </c>
      <c r="B25" s="1">
        <f t="shared" si="0"/>
        <v>32.34375</v>
      </c>
      <c r="C25">
        <f t="shared" si="1"/>
        <v>0.53499761988709715</v>
      </c>
      <c r="D25">
        <f t="shared" si="2"/>
        <v>136</v>
      </c>
      <c r="E25" s="1">
        <f t="shared" si="3"/>
        <v>32.230952635502113</v>
      </c>
      <c r="F25" s="1">
        <f t="shared" si="4"/>
        <v>-0.11279736449788658</v>
      </c>
    </row>
    <row r="26" spans="1:6">
      <c r="A26">
        <v>24</v>
      </c>
      <c r="B26" s="1">
        <f t="shared" si="0"/>
        <v>33.75</v>
      </c>
      <c r="C26">
        <f t="shared" si="1"/>
        <v>0.55557023301960218</v>
      </c>
      <c r="D26">
        <f t="shared" si="2"/>
        <v>142</v>
      </c>
      <c r="E26" s="1">
        <f t="shared" si="3"/>
        <v>33.83911211637129</v>
      </c>
      <c r="F26" s="1">
        <f t="shared" si="4"/>
        <v>8.9112116371289574E-2</v>
      </c>
    </row>
    <row r="27" spans="1:6">
      <c r="A27">
        <v>25</v>
      </c>
      <c r="B27" s="1">
        <f t="shared" si="0"/>
        <v>35.15625</v>
      </c>
      <c r="C27">
        <f t="shared" si="1"/>
        <v>0.57580819141784534</v>
      </c>
      <c r="D27">
        <f t="shared" si="2"/>
        <v>147</v>
      </c>
      <c r="E27" s="1">
        <f t="shared" si="3"/>
        <v>35.202683568186941</v>
      </c>
      <c r="F27" s="1">
        <f t="shared" si="4"/>
        <v>4.6433568186941443E-2</v>
      </c>
    </row>
    <row r="28" spans="1:6">
      <c r="A28">
        <v>26</v>
      </c>
      <c r="B28" s="1">
        <f t="shared" si="0"/>
        <v>36.5625</v>
      </c>
      <c r="C28">
        <f t="shared" si="1"/>
        <v>0.59569930449243336</v>
      </c>
      <c r="D28">
        <f t="shared" si="2"/>
        <v>152</v>
      </c>
      <c r="E28" s="1">
        <f t="shared" si="3"/>
        <v>36.589549266352435</v>
      </c>
      <c r="F28" s="1">
        <f t="shared" si="4"/>
        <v>2.7049266352435097E-2</v>
      </c>
    </row>
    <row r="29" spans="1:6">
      <c r="A29">
        <v>27</v>
      </c>
      <c r="B29" s="1">
        <f t="shared" si="0"/>
        <v>37.96875</v>
      </c>
      <c r="C29">
        <f t="shared" si="1"/>
        <v>0.61523159058062682</v>
      </c>
      <c r="D29">
        <f t="shared" si="2"/>
        <v>157</v>
      </c>
      <c r="E29" s="1">
        <f t="shared" si="3"/>
        <v>38.001803155666536</v>
      </c>
      <c r="F29" s="1">
        <f t="shared" si="4"/>
        <v>3.3053155666536327E-2</v>
      </c>
    </row>
    <row r="30" spans="1:6">
      <c r="A30">
        <v>28</v>
      </c>
      <c r="B30" s="1">
        <f t="shared" si="0"/>
        <v>39.375</v>
      </c>
      <c r="C30">
        <f t="shared" si="1"/>
        <v>0.63439328416364549</v>
      </c>
      <c r="D30">
        <f t="shared" si="2"/>
        <v>162</v>
      </c>
      <c r="E30" s="1">
        <f t="shared" si="3"/>
        <v>39.441802037597874</v>
      </c>
      <c r="F30" s="1">
        <f t="shared" si="4"/>
        <v>6.6802037597874175E-2</v>
      </c>
    </row>
    <row r="31" spans="1:6">
      <c r="A31">
        <v>29</v>
      </c>
      <c r="B31" s="1">
        <f t="shared" si="0"/>
        <v>40.78125</v>
      </c>
      <c r="C31">
        <f t="shared" si="1"/>
        <v>0.65317284295377676</v>
      </c>
      <c r="D31">
        <f t="shared" si="2"/>
        <v>167</v>
      </c>
      <c r="E31" s="1">
        <f t="shared" si="3"/>
        <v>40.912216520788462</v>
      </c>
      <c r="F31" s="1">
        <f t="shared" si="4"/>
        <v>0.13096652078846205</v>
      </c>
    </row>
    <row r="32" spans="1:6">
      <c r="A32">
        <v>30</v>
      </c>
      <c r="B32" s="1">
        <f t="shared" si="0"/>
        <v>42.1875</v>
      </c>
      <c r="C32">
        <f t="shared" si="1"/>
        <v>0.67155895484701844</v>
      </c>
      <c r="D32">
        <f t="shared" si="2"/>
        <v>171</v>
      </c>
      <c r="E32" s="1">
        <f t="shared" si="3"/>
        <v>42.112481330118484</v>
      </c>
      <c r="F32" s="1">
        <f t="shared" si="4"/>
        <v>-7.5018669881515621E-2</v>
      </c>
    </row>
    <row r="33" spans="1:6">
      <c r="A33">
        <v>31</v>
      </c>
      <c r="B33" s="1">
        <f t="shared" si="0"/>
        <v>43.59375</v>
      </c>
      <c r="C33">
        <f t="shared" si="1"/>
        <v>0.68954054473706683</v>
      </c>
      <c r="D33">
        <f t="shared" si="2"/>
        <v>176</v>
      </c>
      <c r="E33" s="1">
        <f t="shared" si="3"/>
        <v>43.645632178563993</v>
      </c>
      <c r="F33" s="1">
        <f t="shared" si="4"/>
        <v>5.1882178563992909E-2</v>
      </c>
    </row>
    <row r="34" spans="1:6">
      <c r="A34">
        <v>32</v>
      </c>
      <c r="B34" s="1">
        <f t="shared" si="0"/>
        <v>45</v>
      </c>
      <c r="C34">
        <f t="shared" si="1"/>
        <v>0.70710678118654746</v>
      </c>
      <c r="D34">
        <f t="shared" si="2"/>
        <v>180</v>
      </c>
      <c r="E34" s="1">
        <f t="shared" si="3"/>
        <v>44.900872155972706</v>
      </c>
      <c r="F34" s="1">
        <f t="shared" si="4"/>
        <v>-9.9127844027293577E-2</v>
      </c>
    </row>
    <row r="35" spans="1:6">
      <c r="A35">
        <v>33</v>
      </c>
      <c r="B35" s="1">
        <f t="shared" si="0"/>
        <v>46.40625</v>
      </c>
      <c r="C35">
        <f t="shared" si="1"/>
        <v>0.72424708295146689</v>
      </c>
      <c r="D35">
        <f t="shared" si="2"/>
        <v>185</v>
      </c>
      <c r="E35" s="1">
        <f t="shared" si="3"/>
        <v>46.50964165296724</v>
      </c>
      <c r="F35" s="1">
        <f t="shared" si="4"/>
        <v>0.10339165296723962</v>
      </c>
    </row>
    <row r="36" spans="1:6">
      <c r="A36">
        <v>34</v>
      </c>
      <c r="B36" s="1">
        <f t="shared" si="0"/>
        <v>47.8125</v>
      </c>
      <c r="C36">
        <f t="shared" si="1"/>
        <v>0.74095112535495911</v>
      </c>
      <c r="D36">
        <f t="shared" si="2"/>
        <v>189</v>
      </c>
      <c r="E36" s="1">
        <f t="shared" si="3"/>
        <v>47.831729468842489</v>
      </c>
      <c r="F36" s="1">
        <f t="shared" si="4"/>
        <v>1.9229468842489439E-2</v>
      </c>
    </row>
    <row r="37" spans="1:6">
      <c r="A37">
        <v>35</v>
      </c>
      <c r="B37" s="1">
        <f t="shared" si="0"/>
        <v>49.21875</v>
      </c>
      <c r="C37">
        <f t="shared" si="1"/>
        <v>0.75720884650648446</v>
      </c>
      <c r="D37">
        <f t="shared" si="2"/>
        <v>193</v>
      </c>
      <c r="E37" s="1">
        <f t="shared" si="3"/>
        <v>49.188399589256221</v>
      </c>
      <c r="F37" s="1">
        <f t="shared" si="4"/>
        <v>-3.0350410743778866E-2</v>
      </c>
    </row>
    <row r="38" spans="1:6">
      <c r="A38">
        <v>36</v>
      </c>
      <c r="B38" s="1">
        <f t="shared" si="0"/>
        <v>50.625</v>
      </c>
      <c r="C38">
        <f t="shared" si="1"/>
        <v>0.77301045336273699</v>
      </c>
      <c r="D38">
        <f t="shared" si="2"/>
        <v>197</v>
      </c>
      <c r="E38" s="1">
        <f t="shared" si="3"/>
        <v>50.58334365836896</v>
      </c>
      <c r="F38" s="1">
        <f t="shared" si="4"/>
        <v>-4.1656341631039595E-2</v>
      </c>
    </row>
    <row r="39" spans="1:6">
      <c r="A39">
        <v>37</v>
      </c>
      <c r="B39" s="1">
        <f t="shared" si="0"/>
        <v>52.03125</v>
      </c>
      <c r="C39">
        <f t="shared" si="1"/>
        <v>0.78834642762660623</v>
      </c>
      <c r="D39">
        <f t="shared" si="2"/>
        <v>201</v>
      </c>
      <c r="E39" s="1">
        <f t="shared" si="3"/>
        <v>52.020901467179641</v>
      </c>
      <c r="F39" s="1">
        <f t="shared" si="4"/>
        <v>-1.0348532820358969E-2</v>
      </c>
    </row>
    <row r="40" spans="1:6">
      <c r="A40">
        <v>38</v>
      </c>
      <c r="B40" s="1">
        <f t="shared" si="0"/>
        <v>53.4375</v>
      </c>
      <c r="C40">
        <f t="shared" si="1"/>
        <v>0.80320753148064494</v>
      </c>
      <c r="D40">
        <f t="shared" si="2"/>
        <v>205</v>
      </c>
      <c r="E40" s="1">
        <f t="shared" si="3"/>
        <v>53.50623340017524</v>
      </c>
      <c r="F40" s="1">
        <f t="shared" si="4"/>
        <v>6.8733400175240433E-2</v>
      </c>
    </row>
    <row r="41" spans="1:6">
      <c r="A41">
        <v>39</v>
      </c>
      <c r="B41" s="1">
        <f t="shared" si="0"/>
        <v>54.84375</v>
      </c>
      <c r="C41">
        <f t="shared" si="1"/>
        <v>0.81758481315158371</v>
      </c>
      <c r="D41">
        <f t="shared" si="2"/>
        <v>208</v>
      </c>
      <c r="E41" s="1">
        <f t="shared" si="3"/>
        <v>54.655275775845631</v>
      </c>
      <c r="F41" s="1">
        <f t="shared" si="4"/>
        <v>-0.1884742241543691</v>
      </c>
    </row>
    <row r="42" spans="1:6">
      <c r="A42">
        <v>40</v>
      </c>
      <c r="B42" s="1">
        <f t="shared" si="0"/>
        <v>56.25</v>
      </c>
      <c r="C42">
        <f t="shared" si="1"/>
        <v>0.83146961230254524</v>
      </c>
      <c r="D42">
        <f t="shared" si="2"/>
        <v>212</v>
      </c>
      <c r="E42" s="1">
        <f t="shared" si="3"/>
        <v>56.239991203119757</v>
      </c>
      <c r="F42" s="1">
        <f t="shared" si="4"/>
        <v>-1.0008796880242699E-2</v>
      </c>
    </row>
    <row r="43" spans="1:6">
      <c r="A43">
        <v>41</v>
      </c>
      <c r="B43" s="1">
        <f t="shared" si="0"/>
        <v>57.65625</v>
      </c>
      <c r="C43">
        <f t="shared" si="1"/>
        <v>0.84485356524970701</v>
      </c>
      <c r="D43">
        <f t="shared" si="2"/>
        <v>215</v>
      </c>
      <c r="E43" s="1">
        <f t="shared" si="3"/>
        <v>57.472904012841624</v>
      </c>
      <c r="F43" s="1">
        <f t="shared" si="4"/>
        <v>-0.18334598715837558</v>
      </c>
    </row>
    <row r="44" spans="1:6">
      <c r="A44">
        <v>42</v>
      </c>
      <c r="B44" s="1">
        <f t="shared" si="0"/>
        <v>59.0625</v>
      </c>
      <c r="C44">
        <f t="shared" si="1"/>
        <v>0.85772861000027212</v>
      </c>
      <c r="D44">
        <f t="shared" si="2"/>
        <v>219</v>
      </c>
      <c r="E44" s="1">
        <f t="shared" si="3"/>
        <v>59.184744365395318</v>
      </c>
      <c r="F44" s="1">
        <f t="shared" si="4"/>
        <v>0.1222443653953178</v>
      </c>
    </row>
    <row r="45" spans="1:6">
      <c r="A45">
        <v>43</v>
      </c>
      <c r="B45" s="1">
        <f t="shared" si="0"/>
        <v>60.46875</v>
      </c>
      <c r="C45">
        <f t="shared" si="1"/>
        <v>0.87008699110871135</v>
      </c>
      <c r="D45">
        <f t="shared" si="2"/>
        <v>222</v>
      </c>
      <c r="E45" s="1">
        <f t="shared" si="3"/>
        <v>60.527068341509576</v>
      </c>
      <c r="F45" s="1">
        <f t="shared" si="4"/>
        <v>5.8318341509576044E-2</v>
      </c>
    </row>
    <row r="46" spans="1:6">
      <c r="A46">
        <v>44</v>
      </c>
      <c r="B46" s="1">
        <f t="shared" si="0"/>
        <v>61.875</v>
      </c>
      <c r="C46">
        <f t="shared" si="1"/>
        <v>0.88192126434835505</v>
      </c>
      <c r="D46">
        <f t="shared" si="2"/>
        <v>225</v>
      </c>
      <c r="E46" s="1">
        <f t="shared" si="3"/>
        <v>61.927513064147043</v>
      </c>
      <c r="F46" s="1">
        <f t="shared" si="4"/>
        <v>5.2513064147042599E-2</v>
      </c>
    </row>
    <row r="47" spans="1:6">
      <c r="A47">
        <v>45</v>
      </c>
      <c r="B47" s="1">
        <f t="shared" si="0"/>
        <v>63.28125</v>
      </c>
      <c r="C47">
        <f t="shared" si="1"/>
        <v>0.89322430119551532</v>
      </c>
      <c r="D47">
        <f t="shared" si="2"/>
        <v>228</v>
      </c>
      <c r="E47" s="1">
        <f t="shared" si="3"/>
        <v>63.3953183106035</v>
      </c>
      <c r="F47" s="1">
        <f t="shared" si="4"/>
        <v>0.11406831060349987</v>
      </c>
    </row>
    <row r="48" spans="1:6">
      <c r="A48">
        <v>46</v>
      </c>
      <c r="B48" s="1">
        <f t="shared" si="0"/>
        <v>64.6875</v>
      </c>
      <c r="C48">
        <f t="shared" si="1"/>
        <v>0.90398929312344334</v>
      </c>
      <c r="D48">
        <f t="shared" si="2"/>
        <v>231</v>
      </c>
      <c r="E48" s="1">
        <f t="shared" si="3"/>
        <v>64.942384581696984</v>
      </c>
      <c r="F48" s="1">
        <f t="shared" si="4"/>
        <v>0.25488458169698447</v>
      </c>
    </row>
    <row r="49" spans="1:6">
      <c r="A49">
        <v>47</v>
      </c>
      <c r="B49" s="1">
        <f t="shared" si="0"/>
        <v>66.09375</v>
      </c>
      <c r="C49">
        <f t="shared" si="1"/>
        <v>0.91420975570353069</v>
      </c>
      <c r="D49">
        <f t="shared" si="2"/>
        <v>233</v>
      </c>
      <c r="E49" s="1">
        <f t="shared" si="3"/>
        <v>66.025373269212565</v>
      </c>
      <c r="F49" s="1">
        <f t="shared" si="4"/>
        <v>-6.8376730787434781E-2</v>
      </c>
    </row>
    <row r="50" spans="1:6">
      <c r="A50">
        <v>48</v>
      </c>
      <c r="B50" s="1">
        <f t="shared" si="0"/>
        <v>67.5</v>
      </c>
      <c r="C50">
        <f t="shared" si="1"/>
        <v>0.92387953251128674</v>
      </c>
      <c r="D50">
        <f t="shared" si="2"/>
        <v>236</v>
      </c>
      <c r="E50" s="1">
        <f t="shared" si="3"/>
        <v>67.742388814930365</v>
      </c>
      <c r="F50" s="1">
        <f t="shared" si="4"/>
        <v>0.24238881493036502</v>
      </c>
    </row>
    <row r="51" spans="1:6">
      <c r="A51">
        <v>49</v>
      </c>
      <c r="B51" s="1">
        <f t="shared" si="0"/>
        <v>68.90625</v>
      </c>
      <c r="C51">
        <f t="shared" si="1"/>
        <v>0.93299279883473885</v>
      </c>
      <c r="D51">
        <f t="shared" si="2"/>
        <v>238</v>
      </c>
      <c r="E51" s="1">
        <f t="shared" si="3"/>
        <v>68.960530218682777</v>
      </c>
      <c r="F51" s="1">
        <f t="shared" si="4"/>
        <v>5.4280218682777104E-2</v>
      </c>
    </row>
    <row r="52" spans="1:6">
      <c r="A52">
        <v>50</v>
      </c>
      <c r="B52" s="1">
        <f t="shared" si="0"/>
        <v>70.3125</v>
      </c>
      <c r="C52">
        <f t="shared" si="1"/>
        <v>0.94154406518302081</v>
      </c>
      <c r="D52">
        <f t="shared" si="2"/>
        <v>240</v>
      </c>
      <c r="E52" s="1">
        <f t="shared" si="3"/>
        <v>70.250077204357424</v>
      </c>
      <c r="F52" s="1">
        <f t="shared" si="4"/>
        <v>-6.2422795642575579E-2</v>
      </c>
    </row>
    <row r="53" spans="1:6">
      <c r="A53">
        <v>51</v>
      </c>
      <c r="B53" s="1">
        <f t="shared" si="0"/>
        <v>71.71875</v>
      </c>
      <c r="C53">
        <f t="shared" si="1"/>
        <v>0.94952818059303667</v>
      </c>
      <c r="D53">
        <f t="shared" si="2"/>
        <v>242</v>
      </c>
      <c r="E53" s="1">
        <f t="shared" si="3"/>
        <v>71.626083050781205</v>
      </c>
      <c r="F53" s="1">
        <f t="shared" si="4"/>
        <v>-9.266694921879548E-2</v>
      </c>
    </row>
    <row r="54" spans="1:6">
      <c r="A54">
        <v>52</v>
      </c>
      <c r="B54" s="1">
        <f t="shared" si="0"/>
        <v>73.125</v>
      </c>
      <c r="C54">
        <f t="shared" si="1"/>
        <v>0.95694033573220894</v>
      </c>
      <c r="D54">
        <f t="shared" si="2"/>
        <v>244</v>
      </c>
      <c r="E54" s="1">
        <f t="shared" si="3"/>
        <v>73.109692064779836</v>
      </c>
      <c r="F54" s="1">
        <f t="shared" si="4"/>
        <v>-1.5307935220164381E-2</v>
      </c>
    </row>
    <row r="55" spans="1:6">
      <c r="A55">
        <v>53</v>
      </c>
      <c r="B55" s="1">
        <f t="shared" si="0"/>
        <v>74.53125</v>
      </c>
      <c r="C55">
        <f t="shared" si="1"/>
        <v>0.96377606579543984</v>
      </c>
      <c r="D55">
        <f t="shared" si="2"/>
        <v>246</v>
      </c>
      <c r="E55" s="1">
        <f t="shared" si="3"/>
        <v>74.732269761373828</v>
      </c>
      <c r="F55" s="1">
        <f t="shared" si="4"/>
        <v>0.20101976137382849</v>
      </c>
    </row>
    <row r="56" spans="1:6">
      <c r="A56">
        <v>54</v>
      </c>
      <c r="B56" s="1">
        <f t="shared" si="0"/>
        <v>75.9375</v>
      </c>
      <c r="C56">
        <f t="shared" si="1"/>
        <v>0.97003125319454397</v>
      </c>
      <c r="D56">
        <f t="shared" si="2"/>
        <v>247</v>
      </c>
      <c r="E56" s="1">
        <f t="shared" si="3"/>
        <v>75.610207501051661</v>
      </c>
      <c r="F56" s="1">
        <f t="shared" si="4"/>
        <v>-0.32729249894833856</v>
      </c>
    </row>
    <row r="57" spans="1:6">
      <c r="A57">
        <v>55</v>
      </c>
      <c r="B57" s="1">
        <f t="shared" si="0"/>
        <v>77.34375</v>
      </c>
      <c r="C57">
        <f t="shared" si="1"/>
        <v>0.97570213003852857</v>
      </c>
      <c r="D57">
        <f t="shared" si="2"/>
        <v>249</v>
      </c>
      <c r="E57" s="1">
        <f t="shared" si="3"/>
        <v>77.546299405731276</v>
      </c>
      <c r="F57" s="1">
        <f t="shared" si="4"/>
        <v>0.20254940573127556</v>
      </c>
    </row>
    <row r="58" spans="1:6">
      <c r="A58">
        <v>56</v>
      </c>
      <c r="B58" s="1">
        <f t="shared" si="0"/>
        <v>78.75</v>
      </c>
      <c r="C58">
        <f t="shared" si="1"/>
        <v>0.98078528040323043</v>
      </c>
      <c r="D58">
        <f t="shared" si="2"/>
        <v>250</v>
      </c>
      <c r="E58" s="1">
        <f t="shared" si="3"/>
        <v>78.63512303296632</v>
      </c>
      <c r="F58" s="1">
        <f t="shared" si="4"/>
        <v>-0.11487696703368044</v>
      </c>
    </row>
    <row r="59" spans="1:6">
      <c r="A59">
        <v>57</v>
      </c>
      <c r="B59" s="1">
        <f t="shared" si="0"/>
        <v>80.15625</v>
      </c>
      <c r="C59">
        <f t="shared" si="1"/>
        <v>0.98527764238894122</v>
      </c>
      <c r="D59">
        <f t="shared" si="2"/>
        <v>251</v>
      </c>
      <c r="E59" s="1">
        <f t="shared" si="3"/>
        <v>79.838288035301474</v>
      </c>
      <c r="F59" s="1">
        <f t="shared" si="4"/>
        <v>-0.31796196469852589</v>
      </c>
    </row>
    <row r="60" spans="1:6">
      <c r="A60">
        <v>58</v>
      </c>
      <c r="B60" s="1">
        <f t="shared" si="0"/>
        <v>81.5625</v>
      </c>
      <c r="C60">
        <f t="shared" si="1"/>
        <v>0.98917650996478101</v>
      </c>
      <c r="D60">
        <f t="shared" si="2"/>
        <v>252</v>
      </c>
      <c r="E60" s="1">
        <f t="shared" si="3"/>
        <v>81.202589290008945</v>
      </c>
      <c r="F60" s="1">
        <f t="shared" si="4"/>
        <v>-0.35991070999105546</v>
      </c>
    </row>
    <row r="61" spans="1:6">
      <c r="A61">
        <v>59</v>
      </c>
      <c r="B61" s="1">
        <f t="shared" si="0"/>
        <v>82.96875</v>
      </c>
      <c r="C61">
        <f t="shared" si="1"/>
        <v>0.99247953459870997</v>
      </c>
      <c r="D61">
        <f t="shared" si="2"/>
        <v>253</v>
      </c>
      <c r="E61" s="1">
        <f t="shared" si="3"/>
        <v>82.819299725016279</v>
      </c>
      <c r="F61" s="1">
        <f t="shared" si="4"/>
        <v>-0.14945027498372099</v>
      </c>
    </row>
    <row r="62" spans="1:6">
      <c r="A62">
        <v>60</v>
      </c>
      <c r="B62" s="1">
        <f t="shared" si="0"/>
        <v>84.375</v>
      </c>
      <c r="C62">
        <f t="shared" si="1"/>
        <v>0.99518472667219693</v>
      </c>
      <c r="D62">
        <f t="shared" si="2"/>
        <v>254</v>
      </c>
      <c r="E62" s="1">
        <f t="shared" si="3"/>
        <v>84.924140778462743</v>
      </c>
      <c r="F62" s="1">
        <f t="shared" si="4"/>
        <v>0.54914077846274267</v>
      </c>
    </row>
    <row r="63" spans="1:6">
      <c r="A63">
        <v>61</v>
      </c>
      <c r="B63" s="1">
        <f t="shared" si="0"/>
        <v>85.78125</v>
      </c>
      <c r="C63">
        <f t="shared" si="1"/>
        <v>0.99729045667869021</v>
      </c>
      <c r="D63">
        <f t="shared" si="2"/>
        <v>254</v>
      </c>
      <c r="E63" s="1">
        <f t="shared" si="3"/>
        <v>84.924140778462743</v>
      </c>
      <c r="F63" s="1">
        <f t="shared" si="4"/>
        <v>-0.85710922153725733</v>
      </c>
    </row>
    <row r="64" spans="1:6">
      <c r="A64">
        <v>62</v>
      </c>
      <c r="B64" s="1">
        <f t="shared" si="0"/>
        <v>87.1875</v>
      </c>
      <c r="C64">
        <f t="shared" si="1"/>
        <v>0.99879545620517241</v>
      </c>
      <c r="D64">
        <f t="shared" si="2"/>
        <v>255</v>
      </c>
      <c r="E64" s="1">
        <f t="shared" si="3"/>
        <v>90</v>
      </c>
      <c r="F64" s="1">
        <f t="shared" si="4"/>
        <v>2.8125</v>
      </c>
    </row>
    <row r="65" spans="1:6">
      <c r="A65">
        <v>63</v>
      </c>
      <c r="B65" s="1">
        <f t="shared" si="0"/>
        <v>88.59375</v>
      </c>
      <c r="C65">
        <f t="shared" si="1"/>
        <v>0.99969881869620425</v>
      </c>
      <c r="D65">
        <f t="shared" si="2"/>
        <v>255</v>
      </c>
      <c r="E65" s="1">
        <f t="shared" si="3"/>
        <v>90</v>
      </c>
      <c r="F65" s="1">
        <f t="shared" si="4"/>
        <v>1.40625</v>
      </c>
    </row>
    <row r="66" spans="1:6">
      <c r="E66" s="1"/>
      <c r="F66" s="1"/>
    </row>
    <row r="67" spans="1:6">
      <c r="E67" s="1"/>
    </row>
    <row r="68" spans="1:6">
      <c r="E68" s="1"/>
    </row>
    <row r="69" spans="1:6">
      <c r="E69" s="1"/>
    </row>
    <row r="70" spans="1:6">
      <c r="E70" s="1"/>
    </row>
    <row r="71" spans="1:6">
      <c r="E71" s="1"/>
    </row>
    <row r="72" spans="1:6">
      <c r="E72" s="1"/>
    </row>
    <row r="73" spans="1:6">
      <c r="E73" s="1"/>
    </row>
    <row r="74" spans="1:6">
      <c r="E74" s="1"/>
    </row>
    <row r="75" spans="1:6">
      <c r="E75" s="1"/>
    </row>
    <row r="76" spans="1:6">
      <c r="E76" s="1"/>
    </row>
    <row r="77" spans="1:6">
      <c r="E77" s="1"/>
    </row>
    <row r="78" spans="1:6">
      <c r="E78" s="1"/>
    </row>
    <row r="79" spans="1:6">
      <c r="E79" s="1"/>
    </row>
    <row r="80" spans="1:6">
      <c r="E80" s="1"/>
    </row>
    <row r="81" spans="5:5">
      <c r="E81" s="1"/>
    </row>
    <row r="82" spans="5:5">
      <c r="E82" s="1"/>
    </row>
    <row r="83" spans="5:5">
      <c r="E83" s="1"/>
    </row>
    <row r="84" spans="5:5">
      <c r="E84" s="1"/>
    </row>
    <row r="85" spans="5:5">
      <c r="E85" s="1"/>
    </row>
    <row r="86" spans="5:5">
      <c r="E86" s="1"/>
    </row>
    <row r="87" spans="5:5">
      <c r="E87" s="1"/>
    </row>
    <row r="88" spans="5:5">
      <c r="E88" s="1"/>
    </row>
    <row r="89" spans="5:5">
      <c r="E89" s="1"/>
    </row>
    <row r="90" spans="5:5">
      <c r="E90" s="1"/>
    </row>
    <row r="91" spans="5:5">
      <c r="E91" s="1"/>
    </row>
    <row r="92" spans="5:5">
      <c r="E92" s="1"/>
    </row>
    <row r="93" spans="5:5">
      <c r="E93" s="1"/>
    </row>
    <row r="94" spans="5:5">
      <c r="E94" s="1"/>
    </row>
    <row r="95" spans="5:5">
      <c r="E95" s="1"/>
    </row>
    <row r="96" spans="5:5">
      <c r="E96" s="1"/>
    </row>
    <row r="97" spans="5:5">
      <c r="E97" s="1"/>
    </row>
    <row r="98" spans="5:5">
      <c r="E98" s="1"/>
    </row>
    <row r="99" spans="5:5">
      <c r="E99" s="1"/>
    </row>
    <row r="100" spans="5:5">
      <c r="E100" s="1"/>
    </row>
    <row r="101" spans="5:5">
      <c r="E101" s="1"/>
    </row>
    <row r="102" spans="5:5">
      <c r="E102" s="1"/>
    </row>
    <row r="103" spans="5:5">
      <c r="E103" s="1"/>
    </row>
    <row r="104" spans="5:5">
      <c r="E104" s="1"/>
    </row>
    <row r="105" spans="5:5">
      <c r="E105" s="1"/>
    </row>
    <row r="106" spans="5:5">
      <c r="E106" s="1"/>
    </row>
    <row r="107" spans="5:5">
      <c r="E107" s="1"/>
    </row>
    <row r="108" spans="5:5">
      <c r="E108" s="1"/>
    </row>
    <row r="109" spans="5:5">
      <c r="E109" s="1"/>
    </row>
    <row r="110" spans="5:5">
      <c r="E110" s="1"/>
    </row>
    <row r="111" spans="5:5">
      <c r="E111" s="1"/>
    </row>
    <row r="112" spans="5:5">
      <c r="E112" s="1"/>
    </row>
    <row r="113" spans="5:5">
      <c r="E113" s="1"/>
    </row>
    <row r="114" spans="5:5">
      <c r="E114" s="1"/>
    </row>
    <row r="115" spans="5:5">
      <c r="E115" s="1"/>
    </row>
    <row r="116" spans="5:5">
      <c r="E116" s="1"/>
    </row>
    <row r="117" spans="5:5">
      <c r="E117" s="1"/>
    </row>
    <row r="118" spans="5:5">
      <c r="E118" s="1"/>
    </row>
    <row r="119" spans="5:5">
      <c r="E119" s="1"/>
    </row>
    <row r="120" spans="5:5">
      <c r="E120" s="1"/>
    </row>
    <row r="121" spans="5:5">
      <c r="E121" s="1"/>
    </row>
    <row r="122" spans="5:5">
      <c r="E122" s="1"/>
    </row>
    <row r="123" spans="5:5">
      <c r="E123" s="1"/>
    </row>
    <row r="124" spans="5:5">
      <c r="E124" s="1"/>
    </row>
    <row r="125" spans="5:5">
      <c r="E125" s="1"/>
    </row>
    <row r="126" spans="5:5">
      <c r="E126" s="1"/>
    </row>
    <row r="127" spans="5:5">
      <c r="E127" s="1"/>
    </row>
    <row r="128" spans="5:5">
      <c r="E128" s="1"/>
    </row>
    <row r="129" spans="5:5">
      <c r="E129" s="1"/>
    </row>
    <row r="130" spans="5:5">
      <c r="E130" s="1"/>
    </row>
    <row r="131" spans="5:5">
      <c r="E131" s="1"/>
    </row>
    <row r="132" spans="5:5">
      <c r="E132" s="1"/>
    </row>
    <row r="133" spans="5:5">
      <c r="E133" s="1"/>
    </row>
    <row r="134" spans="5:5">
      <c r="E134" s="1"/>
    </row>
    <row r="135" spans="5:5">
      <c r="E135" s="1"/>
    </row>
    <row r="136" spans="5:5">
      <c r="E136" s="1"/>
    </row>
    <row r="137" spans="5:5">
      <c r="E137" s="1"/>
    </row>
    <row r="138" spans="5:5">
      <c r="E138" s="1"/>
    </row>
    <row r="139" spans="5:5">
      <c r="E139" s="1"/>
    </row>
    <row r="140" spans="5:5">
      <c r="E140" s="1"/>
    </row>
    <row r="141" spans="5:5">
      <c r="E141" s="1"/>
    </row>
    <row r="142" spans="5:5">
      <c r="E142" s="1"/>
    </row>
    <row r="143" spans="5:5">
      <c r="E143" s="1"/>
    </row>
    <row r="144" spans="5:5">
      <c r="E144" s="1"/>
    </row>
    <row r="145" spans="5:5">
      <c r="E145" s="1"/>
    </row>
    <row r="146" spans="5:5">
      <c r="E146" s="1"/>
    </row>
    <row r="147" spans="5:5">
      <c r="E147" s="1"/>
    </row>
    <row r="148" spans="5:5">
      <c r="E148" s="1"/>
    </row>
    <row r="149" spans="5:5">
      <c r="E149" s="1"/>
    </row>
    <row r="150" spans="5:5">
      <c r="E150" s="1"/>
    </row>
    <row r="151" spans="5:5">
      <c r="E151" s="1"/>
    </row>
    <row r="152" spans="5:5">
      <c r="E152" s="1"/>
    </row>
    <row r="153" spans="5:5">
      <c r="E153" s="1"/>
    </row>
    <row r="154" spans="5:5">
      <c r="E154" s="1"/>
    </row>
    <row r="155" spans="5:5">
      <c r="E155" s="1"/>
    </row>
    <row r="156" spans="5:5">
      <c r="E156" s="1"/>
    </row>
    <row r="157" spans="5:5">
      <c r="E157" s="1"/>
    </row>
    <row r="158" spans="5:5">
      <c r="E158" s="1"/>
    </row>
    <row r="159" spans="5:5">
      <c r="E159" s="1"/>
    </row>
    <row r="160" spans="5:5">
      <c r="E160" s="1"/>
    </row>
    <row r="161" spans="5:5">
      <c r="E161" s="1"/>
    </row>
    <row r="162" spans="5:5">
      <c r="E162" s="1"/>
    </row>
    <row r="163" spans="5:5">
      <c r="E163" s="1"/>
    </row>
    <row r="164" spans="5:5">
      <c r="E164" s="1"/>
    </row>
    <row r="165" spans="5:5">
      <c r="E165" s="1"/>
    </row>
    <row r="166" spans="5:5">
      <c r="E166" s="1"/>
    </row>
    <row r="167" spans="5:5">
      <c r="E167" s="1"/>
    </row>
    <row r="168" spans="5:5">
      <c r="E168" s="1"/>
    </row>
    <row r="169" spans="5:5">
      <c r="E169" s="1"/>
    </row>
    <row r="170" spans="5:5">
      <c r="E170" s="1"/>
    </row>
    <row r="171" spans="5:5">
      <c r="E171" s="1"/>
    </row>
    <row r="172" spans="5:5">
      <c r="E172" s="1"/>
    </row>
    <row r="173" spans="5:5">
      <c r="E173" s="1"/>
    </row>
    <row r="174" spans="5:5">
      <c r="E174" s="1"/>
    </row>
    <row r="175" spans="5:5">
      <c r="E175" s="1"/>
    </row>
    <row r="176" spans="5:5">
      <c r="E176" s="1"/>
    </row>
    <row r="177" spans="5:5">
      <c r="E177" s="1"/>
    </row>
    <row r="178" spans="5:5">
      <c r="E178" s="1"/>
    </row>
    <row r="179" spans="5:5">
      <c r="E179" s="1"/>
    </row>
    <row r="180" spans="5:5">
      <c r="E180" s="1"/>
    </row>
    <row r="181" spans="5:5">
      <c r="E181" s="1"/>
    </row>
    <row r="182" spans="5:5">
      <c r="E182" s="1"/>
    </row>
    <row r="183" spans="5:5">
      <c r="E183" s="1"/>
    </row>
    <row r="184" spans="5:5">
      <c r="E184" s="1"/>
    </row>
    <row r="185" spans="5:5">
      <c r="E185" s="1"/>
    </row>
    <row r="186" spans="5:5">
      <c r="E186" s="1"/>
    </row>
    <row r="187" spans="5:5">
      <c r="E187" s="1"/>
    </row>
    <row r="188" spans="5:5">
      <c r="E188" s="1"/>
    </row>
    <row r="189" spans="5:5">
      <c r="E189" s="1"/>
    </row>
    <row r="190" spans="5:5">
      <c r="E190" s="1"/>
    </row>
    <row r="191" spans="5:5">
      <c r="E191" s="1"/>
    </row>
    <row r="192" spans="5:5">
      <c r="E192" s="1"/>
    </row>
    <row r="193" spans="5:5">
      <c r="E193" s="1"/>
    </row>
    <row r="194" spans="5:5">
      <c r="E194" s="1"/>
    </row>
    <row r="195" spans="5:5">
      <c r="E195" s="1"/>
    </row>
    <row r="196" spans="5:5">
      <c r="E196" s="1"/>
    </row>
    <row r="197" spans="5:5">
      <c r="E197" s="1"/>
    </row>
    <row r="198" spans="5:5">
      <c r="E198" s="1"/>
    </row>
    <row r="199" spans="5:5">
      <c r="E199" s="1"/>
    </row>
    <row r="200" spans="5:5">
      <c r="E200" s="1"/>
    </row>
    <row r="201" spans="5:5">
      <c r="E201" s="1"/>
    </row>
    <row r="202" spans="5:5">
      <c r="E202" s="1"/>
    </row>
    <row r="203" spans="5:5">
      <c r="E203" s="1"/>
    </row>
    <row r="204" spans="5:5">
      <c r="E204" s="1"/>
    </row>
    <row r="205" spans="5:5">
      <c r="E205" s="1"/>
    </row>
    <row r="206" spans="5:5">
      <c r="E206" s="1"/>
    </row>
    <row r="207" spans="5:5">
      <c r="E207" s="1"/>
    </row>
    <row r="208" spans="5:5">
      <c r="E208" s="1"/>
    </row>
    <row r="209" spans="5:5">
      <c r="E209" s="1"/>
    </row>
    <row r="210" spans="5:5">
      <c r="E210" s="1"/>
    </row>
    <row r="211" spans="5:5">
      <c r="E211" s="1"/>
    </row>
    <row r="212" spans="5:5">
      <c r="E212" s="1"/>
    </row>
    <row r="213" spans="5:5">
      <c r="E213" s="1"/>
    </row>
    <row r="214" spans="5:5">
      <c r="E214" s="1"/>
    </row>
    <row r="215" spans="5:5">
      <c r="E215" s="1"/>
    </row>
    <row r="216" spans="5:5">
      <c r="E216" s="1"/>
    </row>
    <row r="217" spans="5:5">
      <c r="E217" s="1"/>
    </row>
    <row r="218" spans="5:5">
      <c r="E218" s="1"/>
    </row>
    <row r="219" spans="5:5">
      <c r="E219" s="1"/>
    </row>
    <row r="220" spans="5:5">
      <c r="E220" s="1"/>
    </row>
    <row r="221" spans="5:5">
      <c r="E221" s="1"/>
    </row>
    <row r="222" spans="5:5">
      <c r="E222" s="1"/>
    </row>
    <row r="223" spans="5:5">
      <c r="E223" s="1"/>
    </row>
    <row r="224" spans="5:5">
      <c r="E224" s="1"/>
    </row>
    <row r="225" spans="5:5">
      <c r="E225" s="1"/>
    </row>
    <row r="226" spans="5:5">
      <c r="E226" s="1"/>
    </row>
    <row r="227" spans="5:5">
      <c r="E227" s="1"/>
    </row>
    <row r="228" spans="5:5">
      <c r="E228" s="1"/>
    </row>
    <row r="229" spans="5:5">
      <c r="E229" s="1"/>
    </row>
    <row r="230" spans="5:5">
      <c r="E230" s="1"/>
    </row>
    <row r="231" spans="5:5">
      <c r="E231" s="1"/>
    </row>
    <row r="232" spans="5:5">
      <c r="E232" s="1"/>
    </row>
    <row r="233" spans="5:5">
      <c r="E233" s="1"/>
    </row>
    <row r="234" spans="5:5">
      <c r="E234" s="1"/>
    </row>
    <row r="235" spans="5:5">
      <c r="E235" s="1"/>
    </row>
    <row r="236" spans="5:5">
      <c r="E236" s="1"/>
    </row>
    <row r="237" spans="5:5">
      <c r="E237" s="1"/>
    </row>
    <row r="238" spans="5:5">
      <c r="E238" s="1"/>
    </row>
    <row r="239" spans="5:5">
      <c r="E239" s="1"/>
    </row>
    <row r="240" spans="5:5">
      <c r="E240" s="1"/>
    </row>
    <row r="241" spans="5:5">
      <c r="E241" s="1"/>
    </row>
    <row r="242" spans="5:5">
      <c r="E242" s="1"/>
    </row>
    <row r="243" spans="5:5">
      <c r="E243" s="1"/>
    </row>
    <row r="244" spans="5:5">
      <c r="E244" s="1"/>
    </row>
    <row r="245" spans="5:5">
      <c r="E245" s="1"/>
    </row>
    <row r="246" spans="5:5">
      <c r="E246" s="1"/>
    </row>
    <row r="247" spans="5:5">
      <c r="E247" s="1"/>
    </row>
    <row r="248" spans="5:5">
      <c r="E248" s="1"/>
    </row>
    <row r="249" spans="5:5">
      <c r="E249" s="1"/>
    </row>
    <row r="250" spans="5:5">
      <c r="E250" s="1"/>
    </row>
    <row r="251" spans="5:5">
      <c r="E251" s="1"/>
    </row>
    <row r="252" spans="5:5">
      <c r="E252" s="1"/>
    </row>
    <row r="253" spans="5:5">
      <c r="E253" s="1"/>
    </row>
    <row r="254" spans="5:5">
      <c r="E254" s="1"/>
    </row>
    <row r="255" spans="5:5">
      <c r="E255" s="1"/>
    </row>
    <row r="256" spans="5:5">
      <c r="E256" s="1"/>
    </row>
    <row r="257" spans="5:5">
      <c r="E257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Munka4"/>
  <dimension ref="A1:F257"/>
  <sheetViews>
    <sheetView workbookViewId="0">
      <selection activeCell="D1" sqref="D1"/>
    </sheetView>
  </sheetViews>
  <sheetFormatPr defaultRowHeight="15"/>
  <cols>
    <col min="1" max="1" width="17.28515625" customWidth="1"/>
    <col min="2" max="2" width="12.5703125" style="1" bestFit="1" customWidth="1"/>
    <col min="3" max="3" width="17" customWidth="1"/>
    <col min="4" max="4" width="22.85546875" bestFit="1" customWidth="1"/>
    <col min="5" max="5" width="19.5703125" customWidth="1"/>
  </cols>
  <sheetData>
    <row r="1" spans="1:6">
      <c r="A1" t="s">
        <v>4</v>
      </c>
      <c r="B1" s="1" t="s">
        <v>0</v>
      </c>
      <c r="C1" t="s">
        <v>1</v>
      </c>
      <c r="D1" t="s">
        <v>25</v>
      </c>
      <c r="E1" t="s">
        <v>2</v>
      </c>
      <c r="F1" t="s">
        <v>3</v>
      </c>
    </row>
    <row r="2" spans="1:6">
      <c r="A2">
        <v>0</v>
      </c>
      <c r="B2" s="1">
        <f>360/256*A2</f>
        <v>0</v>
      </c>
      <c r="C2">
        <f>SIN(RADIANS(B2))</f>
        <v>0</v>
      </c>
      <c r="D2">
        <f>ROUND(C2*511,0)</f>
        <v>0</v>
      </c>
      <c r="E2" s="1">
        <f>DEGREES(ASIN(D2/511))</f>
        <v>0</v>
      </c>
      <c r="F2" s="1">
        <f>E2-B2</f>
        <v>0</v>
      </c>
    </row>
    <row r="3" spans="1:6">
      <c r="A3">
        <v>1</v>
      </c>
      <c r="B3" s="1">
        <f t="shared" ref="B3:B65" si="0">360/256*A3</f>
        <v>1.40625</v>
      </c>
      <c r="C3">
        <f t="shared" ref="C3:C65" si="1">SIN(RADIANS(B3))</f>
        <v>2.4541228522912288E-2</v>
      </c>
      <c r="D3">
        <f t="shared" ref="D3:D65" si="2">ROUND(C3*511,0)</f>
        <v>13</v>
      </c>
      <c r="E3" s="1">
        <f t="shared" ref="E3:E65" si="3">DEGREES(ASIN(D3/511))</f>
        <v>1.457779847796709</v>
      </c>
      <c r="F3" s="1">
        <f t="shared" ref="F3:F65" si="4">E3-B3</f>
        <v>5.1529847796708994E-2</v>
      </c>
    </row>
    <row r="4" spans="1:6">
      <c r="A4">
        <v>2</v>
      </c>
      <c r="B4" s="1">
        <f t="shared" si="0"/>
        <v>2.8125</v>
      </c>
      <c r="C4">
        <f t="shared" si="1"/>
        <v>4.9067674327418015E-2</v>
      </c>
      <c r="D4">
        <f t="shared" si="2"/>
        <v>25</v>
      </c>
      <c r="E4" s="1">
        <f t="shared" si="3"/>
        <v>2.8042397583102732</v>
      </c>
      <c r="F4" s="1">
        <f t="shared" si="4"/>
        <v>-8.2602416897268327E-3</v>
      </c>
    </row>
    <row r="5" spans="1:6">
      <c r="A5">
        <v>3</v>
      </c>
      <c r="B5" s="1">
        <f t="shared" si="0"/>
        <v>4.21875</v>
      </c>
      <c r="C5">
        <f t="shared" si="1"/>
        <v>7.3564563599667426E-2</v>
      </c>
      <c r="D5">
        <f t="shared" si="2"/>
        <v>38</v>
      </c>
      <c r="E5" s="1">
        <f t="shared" si="3"/>
        <v>4.2646796908850115</v>
      </c>
      <c r="F5" s="1">
        <f t="shared" si="4"/>
        <v>4.5929690885011532E-2</v>
      </c>
    </row>
    <row r="6" spans="1:6">
      <c r="A6">
        <v>4</v>
      </c>
      <c r="B6" s="1">
        <f t="shared" si="0"/>
        <v>5.625</v>
      </c>
      <c r="C6">
        <f t="shared" si="1"/>
        <v>9.8017140329560604E-2</v>
      </c>
      <c r="D6">
        <f t="shared" si="2"/>
        <v>50</v>
      </c>
      <c r="E6" s="1">
        <f t="shared" si="3"/>
        <v>5.6152252094232473</v>
      </c>
      <c r="F6" s="1">
        <f t="shared" si="4"/>
        <v>-9.7747905767526788E-3</v>
      </c>
    </row>
    <row r="7" spans="1:6">
      <c r="A7">
        <v>5</v>
      </c>
      <c r="B7" s="1">
        <f t="shared" si="0"/>
        <v>7.03125</v>
      </c>
      <c r="C7">
        <f t="shared" si="1"/>
        <v>0.1224106751992162</v>
      </c>
      <c r="D7">
        <f t="shared" si="2"/>
        <v>63</v>
      </c>
      <c r="E7" s="1">
        <f t="shared" si="3"/>
        <v>7.0818816902857629</v>
      </c>
      <c r="F7" s="1">
        <f t="shared" si="4"/>
        <v>5.0631690285762865E-2</v>
      </c>
    </row>
    <row r="8" spans="1:6">
      <c r="A8">
        <v>6</v>
      </c>
      <c r="B8" s="1">
        <f t="shared" si="0"/>
        <v>8.4375</v>
      </c>
      <c r="C8">
        <f t="shared" si="1"/>
        <v>0.14673047445536175</v>
      </c>
      <c r="D8">
        <f t="shared" si="2"/>
        <v>75</v>
      </c>
      <c r="E8" s="1">
        <f t="shared" si="3"/>
        <v>8.4398495100089299</v>
      </c>
      <c r="F8" s="1">
        <f t="shared" si="4"/>
        <v>2.3495100089299115E-3</v>
      </c>
    </row>
    <row r="9" spans="1:6">
      <c r="A9">
        <v>7</v>
      </c>
      <c r="B9" s="1">
        <f t="shared" si="0"/>
        <v>9.84375</v>
      </c>
      <c r="C9">
        <f t="shared" si="1"/>
        <v>0.17096188876030122</v>
      </c>
      <c r="D9">
        <f t="shared" si="2"/>
        <v>87</v>
      </c>
      <c r="E9" s="1">
        <f t="shared" si="3"/>
        <v>9.8026109165686801</v>
      </c>
      <c r="F9" s="1">
        <f t="shared" si="4"/>
        <v>-4.1139083431319889E-2</v>
      </c>
    </row>
    <row r="10" spans="1:6">
      <c r="A10">
        <v>8</v>
      </c>
      <c r="B10" s="1">
        <f t="shared" si="0"/>
        <v>11.25</v>
      </c>
      <c r="C10">
        <f t="shared" si="1"/>
        <v>0.19509032201612825</v>
      </c>
      <c r="D10">
        <f t="shared" si="2"/>
        <v>100</v>
      </c>
      <c r="E10" s="1">
        <f t="shared" si="3"/>
        <v>11.285309831679672</v>
      </c>
      <c r="F10" s="1">
        <f t="shared" si="4"/>
        <v>3.5309831679672499E-2</v>
      </c>
    </row>
    <row r="11" spans="1:6">
      <c r="A11">
        <v>9</v>
      </c>
      <c r="B11" s="1">
        <f t="shared" si="0"/>
        <v>12.65625</v>
      </c>
      <c r="C11">
        <f t="shared" si="1"/>
        <v>0.2191012401568698</v>
      </c>
      <c r="D11">
        <f t="shared" si="2"/>
        <v>112</v>
      </c>
      <c r="E11" s="1">
        <f t="shared" si="3"/>
        <v>12.6607624050576</v>
      </c>
      <c r="F11" s="1">
        <f t="shared" si="4"/>
        <v>4.5124050575999775E-3</v>
      </c>
    </row>
    <row r="12" spans="1:6">
      <c r="A12">
        <v>10</v>
      </c>
      <c r="B12" s="1">
        <f t="shared" si="0"/>
        <v>14.0625</v>
      </c>
      <c r="C12">
        <f t="shared" si="1"/>
        <v>0.24298017990326387</v>
      </c>
      <c r="D12">
        <f t="shared" si="2"/>
        <v>124</v>
      </c>
      <c r="E12" s="1">
        <f t="shared" si="3"/>
        <v>14.043674592481743</v>
      </c>
      <c r="F12" s="1">
        <f t="shared" si="4"/>
        <v>-1.8825407518257009E-2</v>
      </c>
    </row>
    <row r="13" spans="1:6">
      <c r="A13">
        <v>11</v>
      </c>
      <c r="B13" s="1">
        <f t="shared" si="0"/>
        <v>15.46875</v>
      </c>
      <c r="C13">
        <f t="shared" si="1"/>
        <v>0.26671275747489842</v>
      </c>
      <c r="D13">
        <f t="shared" si="2"/>
        <v>136</v>
      </c>
      <c r="E13" s="1">
        <f t="shared" si="3"/>
        <v>15.434988933422586</v>
      </c>
      <c r="F13" s="1">
        <f t="shared" si="4"/>
        <v>-3.3761066577413956E-2</v>
      </c>
    </row>
    <row r="14" spans="1:6">
      <c r="A14">
        <v>12</v>
      </c>
      <c r="B14" s="1">
        <f t="shared" si="0"/>
        <v>16.875</v>
      </c>
      <c r="C14">
        <f t="shared" si="1"/>
        <v>0.29028467725446233</v>
      </c>
      <c r="D14">
        <f t="shared" si="2"/>
        <v>148</v>
      </c>
      <c r="E14" s="1">
        <f t="shared" si="3"/>
        <v>16.835697017220973</v>
      </c>
      <c r="F14" s="1">
        <f t="shared" si="4"/>
        <v>-3.9302982779027218E-2</v>
      </c>
    </row>
    <row r="15" spans="1:6">
      <c r="A15">
        <v>13</v>
      </c>
      <c r="B15" s="1">
        <f t="shared" si="0"/>
        <v>18.28125</v>
      </c>
      <c r="C15">
        <f t="shared" si="1"/>
        <v>0.31368174039889152</v>
      </c>
      <c r="D15">
        <f t="shared" si="2"/>
        <v>160</v>
      </c>
      <c r="E15" s="1">
        <f t="shared" si="3"/>
        <v>18.246847129180747</v>
      </c>
      <c r="F15" s="1">
        <f t="shared" si="4"/>
        <v>-3.4402870819253195E-2</v>
      </c>
    </row>
    <row r="16" spans="1:6">
      <c r="A16">
        <v>14</v>
      </c>
      <c r="B16" s="1">
        <f t="shared" si="0"/>
        <v>19.6875</v>
      </c>
      <c r="C16">
        <f t="shared" si="1"/>
        <v>0.33688985339222005</v>
      </c>
      <c r="D16">
        <f t="shared" si="2"/>
        <v>172</v>
      </c>
      <c r="E16" s="1">
        <f t="shared" si="3"/>
        <v>19.669552933550762</v>
      </c>
      <c r="F16" s="1">
        <f t="shared" si="4"/>
        <v>-1.7947066449238491E-2</v>
      </c>
    </row>
    <row r="17" spans="1:6">
      <c r="A17">
        <v>15</v>
      </c>
      <c r="B17" s="1">
        <f t="shared" si="0"/>
        <v>21.09375</v>
      </c>
      <c r="C17">
        <f t="shared" si="1"/>
        <v>0.35989503653498817</v>
      </c>
      <c r="D17">
        <f t="shared" si="2"/>
        <v>184</v>
      </c>
      <c r="E17" s="1">
        <f t="shared" si="3"/>
        <v>21.105003413624953</v>
      </c>
      <c r="F17" s="1">
        <f t="shared" si="4"/>
        <v>1.1253413624952913E-2</v>
      </c>
    </row>
    <row r="18" spans="1:6">
      <c r="A18">
        <v>16</v>
      </c>
      <c r="B18" s="1">
        <f t="shared" si="0"/>
        <v>22.5</v>
      </c>
      <c r="C18">
        <f t="shared" si="1"/>
        <v>0.38268343236508978</v>
      </c>
      <c r="D18">
        <f t="shared" si="2"/>
        <v>196</v>
      </c>
      <c r="E18" s="1">
        <f t="shared" si="3"/>
        <v>22.554474340572447</v>
      </c>
      <c r="F18" s="1">
        <f t="shared" si="4"/>
        <v>5.4474340572447488E-2</v>
      </c>
    </row>
    <row r="19" spans="1:6">
      <c r="A19">
        <v>17</v>
      </c>
      <c r="B19" s="1">
        <f t="shared" si="0"/>
        <v>23.90625</v>
      </c>
      <c r="C19">
        <f t="shared" si="1"/>
        <v>0.40524131400498986</v>
      </c>
      <c r="D19">
        <f t="shared" si="2"/>
        <v>207</v>
      </c>
      <c r="E19" s="1">
        <f t="shared" si="3"/>
        <v>23.896645714754673</v>
      </c>
      <c r="F19" s="1">
        <f t="shared" si="4"/>
        <v>-9.6042852453273042E-3</v>
      </c>
    </row>
    <row r="20" spans="1:6">
      <c r="A20">
        <v>18</v>
      </c>
      <c r="B20" s="1">
        <f t="shared" si="0"/>
        <v>25.3125</v>
      </c>
      <c r="C20">
        <f t="shared" si="1"/>
        <v>0.42755509343028208</v>
      </c>
      <c r="D20">
        <f t="shared" si="2"/>
        <v>218</v>
      </c>
      <c r="E20" s="1">
        <f t="shared" si="3"/>
        <v>25.252897685530897</v>
      </c>
      <c r="F20" s="1">
        <f t="shared" si="4"/>
        <v>-5.9602314469103135E-2</v>
      </c>
    </row>
    <row r="21" spans="1:6">
      <c r="A21">
        <v>19</v>
      </c>
      <c r="B21" s="1">
        <f t="shared" si="0"/>
        <v>26.71875</v>
      </c>
      <c r="C21">
        <f t="shared" si="1"/>
        <v>0.4496113296546066</v>
      </c>
      <c r="D21">
        <f t="shared" si="2"/>
        <v>230</v>
      </c>
      <c r="E21" s="1">
        <f t="shared" si="3"/>
        <v>26.74996190804541</v>
      </c>
      <c r="F21" s="1">
        <f t="shared" si="4"/>
        <v>3.1211908045410297E-2</v>
      </c>
    </row>
    <row r="22" spans="1:6">
      <c r="A22">
        <v>20</v>
      </c>
      <c r="B22" s="1">
        <f t="shared" si="0"/>
        <v>28.125</v>
      </c>
      <c r="C22">
        <f t="shared" si="1"/>
        <v>0.47139673682599764</v>
      </c>
      <c r="D22">
        <f t="shared" si="2"/>
        <v>241</v>
      </c>
      <c r="E22" s="1">
        <f t="shared" si="3"/>
        <v>28.139782916960979</v>
      </c>
      <c r="F22" s="1">
        <f t="shared" si="4"/>
        <v>1.4782916960978554E-2</v>
      </c>
    </row>
    <row r="23" spans="1:6">
      <c r="A23">
        <v>21</v>
      </c>
      <c r="B23" s="1">
        <f t="shared" si="0"/>
        <v>29.53125</v>
      </c>
      <c r="C23">
        <f t="shared" si="1"/>
        <v>0.49289819222978404</v>
      </c>
      <c r="D23">
        <f t="shared" si="2"/>
        <v>252</v>
      </c>
      <c r="E23" s="1">
        <f t="shared" si="3"/>
        <v>29.547878171462667</v>
      </c>
      <c r="F23" s="1">
        <f t="shared" si="4"/>
        <v>1.6628171462667041E-2</v>
      </c>
    </row>
    <row r="24" spans="1:6">
      <c r="A24">
        <v>22</v>
      </c>
      <c r="B24" s="1">
        <f t="shared" si="0"/>
        <v>30.9375</v>
      </c>
      <c r="C24">
        <f t="shared" si="1"/>
        <v>0.51410274419322177</v>
      </c>
      <c r="D24">
        <f t="shared" si="2"/>
        <v>263</v>
      </c>
      <c r="E24" s="1">
        <f t="shared" si="3"/>
        <v>30.975874592482022</v>
      </c>
      <c r="F24" s="1">
        <f t="shared" si="4"/>
        <v>3.8374592482021797E-2</v>
      </c>
    </row>
    <row r="25" spans="1:6">
      <c r="A25">
        <v>23</v>
      </c>
      <c r="B25" s="1">
        <f t="shared" si="0"/>
        <v>32.34375</v>
      </c>
      <c r="C25">
        <f t="shared" si="1"/>
        <v>0.53499761988709715</v>
      </c>
      <c r="D25">
        <f t="shared" si="2"/>
        <v>273</v>
      </c>
      <c r="E25" s="1">
        <f t="shared" si="3"/>
        <v>32.292830426529527</v>
      </c>
      <c r="F25" s="1">
        <f t="shared" si="4"/>
        <v>-5.0919573470473267E-2</v>
      </c>
    </row>
    <row r="26" spans="1:6">
      <c r="A26">
        <v>24</v>
      </c>
      <c r="B26" s="1">
        <f t="shared" si="0"/>
        <v>33.75</v>
      </c>
      <c r="C26">
        <f t="shared" si="1"/>
        <v>0.55557023301960218</v>
      </c>
      <c r="D26">
        <f t="shared" si="2"/>
        <v>284</v>
      </c>
      <c r="E26" s="1">
        <f t="shared" si="3"/>
        <v>33.763973213689759</v>
      </c>
      <c r="F26" s="1">
        <f t="shared" si="4"/>
        <v>1.3973213689759234E-2</v>
      </c>
    </row>
    <row r="27" spans="1:6">
      <c r="A27">
        <v>25</v>
      </c>
      <c r="B27" s="1">
        <f t="shared" si="0"/>
        <v>35.15625</v>
      </c>
      <c r="C27">
        <f t="shared" si="1"/>
        <v>0.57580819141784534</v>
      </c>
      <c r="D27">
        <f t="shared" si="2"/>
        <v>294</v>
      </c>
      <c r="E27" s="1">
        <f t="shared" si="3"/>
        <v>35.123618809282789</v>
      </c>
      <c r="F27" s="1">
        <f t="shared" si="4"/>
        <v>-3.2631190717211211E-2</v>
      </c>
    </row>
    <row r="28" spans="1:6">
      <c r="A28">
        <v>26</v>
      </c>
      <c r="B28" s="1">
        <f t="shared" si="0"/>
        <v>36.5625</v>
      </c>
      <c r="C28">
        <f t="shared" si="1"/>
        <v>0.59569930449243336</v>
      </c>
      <c r="D28">
        <f t="shared" si="2"/>
        <v>304</v>
      </c>
      <c r="E28" s="1">
        <f t="shared" si="3"/>
        <v>36.506354569450366</v>
      </c>
      <c r="F28" s="1">
        <f t="shared" si="4"/>
        <v>-5.6145430549634057E-2</v>
      </c>
    </row>
    <row r="29" spans="1:6">
      <c r="A29">
        <v>27</v>
      </c>
      <c r="B29" s="1">
        <f t="shared" si="0"/>
        <v>37.96875</v>
      </c>
      <c r="C29">
        <f t="shared" si="1"/>
        <v>0.61523159058062682</v>
      </c>
      <c r="D29">
        <f t="shared" si="2"/>
        <v>314</v>
      </c>
      <c r="E29" s="1">
        <f t="shared" si="3"/>
        <v>37.914248203264982</v>
      </c>
      <c r="F29" s="1">
        <f t="shared" si="4"/>
        <v>-5.4501796735017649E-2</v>
      </c>
    </row>
    <row r="30" spans="1:6">
      <c r="A30">
        <v>28</v>
      </c>
      <c r="B30" s="1">
        <f t="shared" si="0"/>
        <v>39.375</v>
      </c>
      <c r="C30">
        <f t="shared" si="1"/>
        <v>0.63439328416364549</v>
      </c>
      <c r="D30">
        <f t="shared" si="2"/>
        <v>324</v>
      </c>
      <c r="E30" s="1">
        <f t="shared" si="3"/>
        <v>39.349625551781223</v>
      </c>
      <c r="F30" s="1">
        <f t="shared" si="4"/>
        <v>-2.537444821877699E-2</v>
      </c>
    </row>
    <row r="31" spans="1:6">
      <c r="A31">
        <v>29</v>
      </c>
      <c r="B31" s="1">
        <f t="shared" si="0"/>
        <v>40.78125</v>
      </c>
      <c r="C31">
        <f t="shared" si="1"/>
        <v>0.65317284295377676</v>
      </c>
      <c r="D31">
        <f t="shared" si="2"/>
        <v>334</v>
      </c>
      <c r="E31" s="1">
        <f t="shared" si="3"/>
        <v>40.815120357778348</v>
      </c>
      <c r="F31" s="1">
        <f t="shared" si="4"/>
        <v>3.3870357778347682E-2</v>
      </c>
    </row>
    <row r="32" spans="1:6">
      <c r="A32">
        <v>30</v>
      </c>
      <c r="B32" s="1">
        <f t="shared" si="0"/>
        <v>42.1875</v>
      </c>
      <c r="C32">
        <f t="shared" si="1"/>
        <v>0.67155895484701844</v>
      </c>
      <c r="D32">
        <f t="shared" si="2"/>
        <v>343</v>
      </c>
      <c r="E32" s="1">
        <f t="shared" si="3"/>
        <v>42.162290271080337</v>
      </c>
      <c r="F32" s="1">
        <f t="shared" si="4"/>
        <v>-2.5209728919662666E-2</v>
      </c>
    </row>
    <row r="33" spans="1:6">
      <c r="A33">
        <v>31</v>
      </c>
      <c r="B33" s="1">
        <f t="shared" si="0"/>
        <v>43.59375</v>
      </c>
      <c r="C33">
        <f t="shared" si="1"/>
        <v>0.68954054473706683</v>
      </c>
      <c r="D33">
        <f t="shared" si="2"/>
        <v>352</v>
      </c>
      <c r="E33" s="1">
        <f t="shared" si="3"/>
        <v>43.53878171944902</v>
      </c>
      <c r="F33" s="1">
        <f t="shared" si="4"/>
        <v>-5.4968280550980353E-2</v>
      </c>
    </row>
    <row r="34" spans="1:6">
      <c r="A34">
        <v>32</v>
      </c>
      <c r="B34" s="1">
        <f t="shared" si="0"/>
        <v>45</v>
      </c>
      <c r="C34">
        <f t="shared" si="1"/>
        <v>0.70710678118654746</v>
      </c>
      <c r="D34">
        <f t="shared" si="2"/>
        <v>361</v>
      </c>
      <c r="E34" s="1">
        <f t="shared" si="3"/>
        <v>44.947448321317005</v>
      </c>
      <c r="F34" s="1">
        <f t="shared" si="4"/>
        <v>-5.2551678682995373E-2</v>
      </c>
    </row>
    <row r="35" spans="1:6">
      <c r="A35">
        <v>33</v>
      </c>
      <c r="B35" s="1">
        <f t="shared" si="0"/>
        <v>46.40625</v>
      </c>
      <c r="C35">
        <f t="shared" si="1"/>
        <v>0.72424708295146689</v>
      </c>
      <c r="D35">
        <f t="shared" si="2"/>
        <v>370</v>
      </c>
      <c r="E35" s="1">
        <f t="shared" si="3"/>
        <v>46.391575074592801</v>
      </c>
      <c r="F35" s="1">
        <f t="shared" si="4"/>
        <v>-1.4674925407199169E-2</v>
      </c>
    </row>
    <row r="36" spans="1:6">
      <c r="A36">
        <v>34</v>
      </c>
      <c r="B36" s="1">
        <f t="shared" si="0"/>
        <v>47.8125</v>
      </c>
      <c r="C36">
        <f t="shared" si="1"/>
        <v>0.74095112535495911</v>
      </c>
      <c r="D36">
        <f t="shared" si="2"/>
        <v>379</v>
      </c>
      <c r="E36" s="1">
        <f t="shared" si="3"/>
        <v>47.874977193006202</v>
      </c>
      <c r="F36" s="1">
        <f t="shared" si="4"/>
        <v>6.2477193006202469E-2</v>
      </c>
    </row>
    <row r="37" spans="1:6">
      <c r="A37">
        <v>35</v>
      </c>
      <c r="B37" s="1">
        <f t="shared" si="0"/>
        <v>49.21875</v>
      </c>
      <c r="C37">
        <f t="shared" si="1"/>
        <v>0.75720884650648446</v>
      </c>
      <c r="D37">
        <f t="shared" si="2"/>
        <v>387</v>
      </c>
      <c r="E37" s="1">
        <f t="shared" si="3"/>
        <v>49.230128955828356</v>
      </c>
      <c r="F37" s="1">
        <f t="shared" si="4"/>
        <v>1.1378955828355686E-2</v>
      </c>
    </row>
    <row r="38" spans="1:6">
      <c r="A38">
        <v>36</v>
      </c>
      <c r="B38" s="1">
        <f t="shared" si="0"/>
        <v>50.625</v>
      </c>
      <c r="C38">
        <f t="shared" si="1"/>
        <v>0.77301045336273699</v>
      </c>
      <c r="D38">
        <f t="shared" si="2"/>
        <v>395</v>
      </c>
      <c r="E38" s="1">
        <f t="shared" si="3"/>
        <v>50.623525688454158</v>
      </c>
      <c r="F38" s="1">
        <f t="shared" si="4"/>
        <v>-1.4743115458415446E-3</v>
      </c>
    </row>
    <row r="39" spans="1:6">
      <c r="A39">
        <v>37</v>
      </c>
      <c r="B39" s="1">
        <f t="shared" si="0"/>
        <v>52.03125</v>
      </c>
      <c r="C39">
        <f t="shared" si="1"/>
        <v>0.78834642762660623</v>
      </c>
      <c r="D39">
        <f t="shared" si="2"/>
        <v>403</v>
      </c>
      <c r="E39" s="1">
        <f t="shared" si="3"/>
        <v>52.059502920563624</v>
      </c>
      <c r="F39" s="1">
        <f t="shared" si="4"/>
        <v>2.8252920563623718E-2</v>
      </c>
    </row>
    <row r="40" spans="1:6">
      <c r="A40">
        <v>38</v>
      </c>
      <c r="B40" s="1">
        <f t="shared" si="0"/>
        <v>53.4375</v>
      </c>
      <c r="C40">
        <f t="shared" si="1"/>
        <v>0.80320753148064494</v>
      </c>
      <c r="D40">
        <f t="shared" si="2"/>
        <v>410</v>
      </c>
      <c r="E40" s="1">
        <f t="shared" si="3"/>
        <v>53.354940759546032</v>
      </c>
      <c r="F40" s="1">
        <f t="shared" si="4"/>
        <v>-8.2559240453967675E-2</v>
      </c>
    </row>
    <row r="41" spans="1:6">
      <c r="A41">
        <v>39</v>
      </c>
      <c r="B41" s="1">
        <f t="shared" si="0"/>
        <v>54.84375</v>
      </c>
      <c r="C41">
        <f t="shared" si="1"/>
        <v>0.81758481315158371</v>
      </c>
      <c r="D41">
        <f t="shared" si="2"/>
        <v>418</v>
      </c>
      <c r="E41" s="1">
        <f t="shared" si="3"/>
        <v>54.885474183871679</v>
      </c>
      <c r="F41" s="1">
        <f t="shared" si="4"/>
        <v>4.1724183871679088E-2</v>
      </c>
    </row>
    <row r="42" spans="1:6">
      <c r="A42">
        <v>40</v>
      </c>
      <c r="B42" s="1">
        <f t="shared" si="0"/>
        <v>56.25</v>
      </c>
      <c r="C42">
        <f t="shared" si="1"/>
        <v>0.83146961230254524</v>
      </c>
      <c r="D42">
        <f t="shared" si="2"/>
        <v>425</v>
      </c>
      <c r="E42" s="1">
        <f t="shared" si="3"/>
        <v>56.274029716405131</v>
      </c>
      <c r="F42" s="1">
        <f t="shared" si="4"/>
        <v>2.4029716405131296E-2</v>
      </c>
    </row>
    <row r="43" spans="1:6">
      <c r="A43">
        <v>41</v>
      </c>
      <c r="B43" s="1">
        <f t="shared" si="0"/>
        <v>57.65625</v>
      </c>
      <c r="C43">
        <f t="shared" si="1"/>
        <v>0.84485356524970701</v>
      </c>
      <c r="D43">
        <f t="shared" si="2"/>
        <v>432</v>
      </c>
      <c r="E43" s="1">
        <f t="shared" si="3"/>
        <v>57.714943876480618</v>
      </c>
      <c r="F43" s="1">
        <f t="shared" si="4"/>
        <v>5.8693876480617746E-2</v>
      </c>
    </row>
    <row r="44" spans="1:6">
      <c r="A44">
        <v>42</v>
      </c>
      <c r="B44" s="1">
        <f t="shared" si="0"/>
        <v>59.0625</v>
      </c>
      <c r="C44">
        <f t="shared" si="1"/>
        <v>0.85772861000027212</v>
      </c>
      <c r="D44">
        <f t="shared" si="2"/>
        <v>438</v>
      </c>
      <c r="E44" s="1">
        <f t="shared" si="3"/>
        <v>58.997280866126005</v>
      </c>
      <c r="F44" s="1">
        <f t="shared" si="4"/>
        <v>-6.5219133873995361E-2</v>
      </c>
    </row>
    <row r="45" spans="1:6">
      <c r="A45">
        <v>43</v>
      </c>
      <c r="B45" s="1">
        <f t="shared" si="0"/>
        <v>60.46875</v>
      </c>
      <c r="C45">
        <f t="shared" si="1"/>
        <v>0.87008699110871135</v>
      </c>
      <c r="D45">
        <f t="shared" si="2"/>
        <v>445</v>
      </c>
      <c r="E45" s="1">
        <f t="shared" si="3"/>
        <v>60.556573465266574</v>
      </c>
      <c r="F45" s="1">
        <f t="shared" si="4"/>
        <v>8.7823465266573919E-2</v>
      </c>
    </row>
    <row r="46" spans="1:6">
      <c r="A46">
        <v>44</v>
      </c>
      <c r="B46" s="1">
        <f t="shared" si="0"/>
        <v>61.875</v>
      </c>
      <c r="C46">
        <f t="shared" si="1"/>
        <v>0.88192126434835505</v>
      </c>
      <c r="D46">
        <f t="shared" si="2"/>
        <v>451</v>
      </c>
      <c r="E46" s="1">
        <f t="shared" si="3"/>
        <v>61.955557137136616</v>
      </c>
      <c r="F46" s="1">
        <f t="shared" si="4"/>
        <v>8.0557137136615609E-2</v>
      </c>
    </row>
    <row r="47" spans="1:6">
      <c r="A47">
        <v>45</v>
      </c>
      <c r="B47" s="1">
        <f t="shared" si="0"/>
        <v>63.28125</v>
      </c>
      <c r="C47">
        <f t="shared" si="1"/>
        <v>0.89322430119551532</v>
      </c>
      <c r="D47">
        <f t="shared" si="2"/>
        <v>456</v>
      </c>
      <c r="E47" s="1">
        <f t="shared" si="3"/>
        <v>63.172321767864439</v>
      </c>
      <c r="F47" s="1">
        <f t="shared" si="4"/>
        <v>-0.10892823213556113</v>
      </c>
    </row>
    <row r="48" spans="1:6">
      <c r="A48">
        <v>46</v>
      </c>
      <c r="B48" s="1">
        <f t="shared" si="0"/>
        <v>64.6875</v>
      </c>
      <c r="C48">
        <f t="shared" si="1"/>
        <v>0.90398929312344334</v>
      </c>
      <c r="D48">
        <f t="shared" si="2"/>
        <v>462</v>
      </c>
      <c r="E48" s="1">
        <f t="shared" si="3"/>
        <v>64.703625406724115</v>
      </c>
      <c r="F48" s="1">
        <f t="shared" si="4"/>
        <v>1.6125406724114555E-2</v>
      </c>
    </row>
    <row r="49" spans="1:6">
      <c r="A49">
        <v>47</v>
      </c>
      <c r="B49" s="1">
        <f t="shared" si="0"/>
        <v>66.09375</v>
      </c>
      <c r="C49">
        <f t="shared" si="1"/>
        <v>0.91420975570353069</v>
      </c>
      <c r="D49">
        <f t="shared" si="2"/>
        <v>467</v>
      </c>
      <c r="E49" s="1">
        <f t="shared" si="3"/>
        <v>66.049191319654597</v>
      </c>
      <c r="F49" s="1">
        <f t="shared" si="4"/>
        <v>-4.4558680345403445E-2</v>
      </c>
    </row>
    <row r="50" spans="1:6">
      <c r="A50">
        <v>48</v>
      </c>
      <c r="B50" s="1">
        <f t="shared" si="0"/>
        <v>67.5</v>
      </c>
      <c r="C50">
        <f t="shared" si="1"/>
        <v>0.92387953251128674</v>
      </c>
      <c r="D50">
        <f t="shared" si="2"/>
        <v>472</v>
      </c>
      <c r="E50" s="1">
        <f t="shared" si="3"/>
        <v>67.470004091939145</v>
      </c>
      <c r="F50" s="1">
        <f t="shared" si="4"/>
        <v>-2.9995908060854504E-2</v>
      </c>
    </row>
    <row r="51" spans="1:6">
      <c r="A51">
        <v>49</v>
      </c>
      <c r="B51" s="1">
        <f t="shared" si="0"/>
        <v>68.90625</v>
      </c>
      <c r="C51">
        <f t="shared" si="1"/>
        <v>0.93299279883473885</v>
      </c>
      <c r="D51">
        <f t="shared" si="2"/>
        <v>477</v>
      </c>
      <c r="E51" s="1">
        <f t="shared" si="3"/>
        <v>68.981361118708236</v>
      </c>
      <c r="F51" s="1">
        <f t="shared" si="4"/>
        <v>7.5111118708235836E-2</v>
      </c>
    </row>
    <row r="52" spans="1:6">
      <c r="A52">
        <v>50</v>
      </c>
      <c r="B52" s="1">
        <f t="shared" si="0"/>
        <v>70.3125</v>
      </c>
      <c r="C52">
        <f t="shared" si="1"/>
        <v>0.94154406518302081</v>
      </c>
      <c r="D52">
        <f t="shared" si="2"/>
        <v>481</v>
      </c>
      <c r="E52" s="1">
        <f t="shared" si="3"/>
        <v>70.269604897941278</v>
      </c>
      <c r="F52" s="1">
        <f t="shared" si="4"/>
        <v>-4.2895102058722046E-2</v>
      </c>
    </row>
    <row r="53" spans="1:6">
      <c r="A53">
        <v>51</v>
      </c>
      <c r="B53" s="1">
        <f t="shared" si="0"/>
        <v>71.71875</v>
      </c>
      <c r="C53">
        <f t="shared" si="1"/>
        <v>0.94952818059303667</v>
      </c>
      <c r="D53">
        <f t="shared" si="2"/>
        <v>485</v>
      </c>
      <c r="E53" s="1">
        <f t="shared" si="3"/>
        <v>71.6442257660389</v>
      </c>
      <c r="F53" s="1">
        <f t="shared" si="4"/>
        <v>-7.452423396109964E-2</v>
      </c>
    </row>
    <row r="54" spans="1:6">
      <c r="A54">
        <v>52</v>
      </c>
      <c r="B54" s="1">
        <f t="shared" si="0"/>
        <v>73.125</v>
      </c>
      <c r="C54">
        <f t="shared" si="1"/>
        <v>0.95694033573220894</v>
      </c>
      <c r="D54">
        <f t="shared" si="2"/>
        <v>489</v>
      </c>
      <c r="E54" s="1">
        <f t="shared" si="3"/>
        <v>73.126347490829204</v>
      </c>
      <c r="F54" s="1">
        <f t="shared" si="4"/>
        <v>1.3474908292039345E-3</v>
      </c>
    </row>
    <row r="55" spans="1:6">
      <c r="A55">
        <v>53</v>
      </c>
      <c r="B55" s="1">
        <f t="shared" si="0"/>
        <v>74.53125</v>
      </c>
      <c r="C55">
        <f t="shared" si="1"/>
        <v>0.96377606579543984</v>
      </c>
      <c r="D55">
        <f t="shared" si="2"/>
        <v>492</v>
      </c>
      <c r="E55" s="1">
        <f t="shared" si="3"/>
        <v>74.326755445048136</v>
      </c>
      <c r="F55" s="1">
        <f t="shared" si="4"/>
        <v>-0.20449455495186442</v>
      </c>
    </row>
    <row r="56" spans="1:6">
      <c r="A56">
        <v>54</v>
      </c>
      <c r="B56" s="1">
        <f t="shared" si="0"/>
        <v>75.9375</v>
      </c>
      <c r="C56">
        <f t="shared" si="1"/>
        <v>0.97003125319454397</v>
      </c>
      <c r="D56">
        <f t="shared" si="2"/>
        <v>496</v>
      </c>
      <c r="E56" s="1">
        <f t="shared" si="3"/>
        <v>76.083150271914604</v>
      </c>
      <c r="F56" s="1">
        <f t="shared" si="4"/>
        <v>0.14565027191460445</v>
      </c>
    </row>
    <row r="57" spans="1:6">
      <c r="A57">
        <v>55</v>
      </c>
      <c r="B57" s="1">
        <f t="shared" si="0"/>
        <v>77.34375</v>
      </c>
      <c r="C57">
        <f t="shared" si="1"/>
        <v>0.97570213003852857</v>
      </c>
      <c r="D57">
        <f t="shared" si="2"/>
        <v>499</v>
      </c>
      <c r="E57" s="1">
        <f t="shared" si="3"/>
        <v>77.558539145614176</v>
      </c>
      <c r="F57" s="1">
        <f t="shared" si="4"/>
        <v>0.21478914561417639</v>
      </c>
    </row>
    <row r="58" spans="1:6">
      <c r="A58">
        <v>56</v>
      </c>
      <c r="B58" s="1">
        <f t="shared" si="0"/>
        <v>78.75</v>
      </c>
      <c r="C58">
        <f t="shared" si="1"/>
        <v>0.98078528040323043</v>
      </c>
      <c r="D58">
        <f t="shared" si="2"/>
        <v>501</v>
      </c>
      <c r="E58" s="1">
        <f t="shared" si="3"/>
        <v>78.646285278472291</v>
      </c>
      <c r="F58" s="1">
        <f t="shared" si="4"/>
        <v>-0.10371472152770878</v>
      </c>
    </row>
    <row r="59" spans="1:6">
      <c r="A59">
        <v>57</v>
      </c>
      <c r="B59" s="1">
        <f t="shared" si="0"/>
        <v>80.15625</v>
      </c>
      <c r="C59">
        <f t="shared" si="1"/>
        <v>0.98527764238894122</v>
      </c>
      <c r="D59">
        <f t="shared" si="2"/>
        <v>503</v>
      </c>
      <c r="E59" s="1">
        <f t="shared" si="3"/>
        <v>79.848261990625346</v>
      </c>
      <c r="F59" s="1">
        <f t="shared" si="4"/>
        <v>-0.30798800937465387</v>
      </c>
    </row>
    <row r="60" spans="1:6">
      <c r="A60">
        <v>58</v>
      </c>
      <c r="B60" s="1">
        <f t="shared" si="0"/>
        <v>81.5625</v>
      </c>
      <c r="C60">
        <f t="shared" si="1"/>
        <v>0.98917650996478101</v>
      </c>
      <c r="D60">
        <f t="shared" si="2"/>
        <v>505</v>
      </c>
      <c r="E60" s="1">
        <f t="shared" si="3"/>
        <v>81.211218474444479</v>
      </c>
      <c r="F60" s="1">
        <f t="shared" si="4"/>
        <v>-0.35128152555552106</v>
      </c>
    </row>
    <row r="61" spans="1:6">
      <c r="A61">
        <v>59</v>
      </c>
      <c r="B61" s="1">
        <f t="shared" si="0"/>
        <v>82.96875</v>
      </c>
      <c r="C61">
        <f t="shared" si="1"/>
        <v>0.99247953459870997</v>
      </c>
      <c r="D61">
        <f t="shared" si="2"/>
        <v>507</v>
      </c>
      <c r="E61" s="1">
        <f t="shared" si="3"/>
        <v>82.826338493264231</v>
      </c>
      <c r="F61" s="1">
        <f t="shared" si="4"/>
        <v>-0.14241150673576897</v>
      </c>
    </row>
    <row r="62" spans="1:6">
      <c r="A62">
        <v>60</v>
      </c>
      <c r="B62" s="1">
        <f t="shared" si="0"/>
        <v>84.375</v>
      </c>
      <c r="C62">
        <f t="shared" si="1"/>
        <v>0.99518472667219693</v>
      </c>
      <c r="D62">
        <f t="shared" si="2"/>
        <v>509</v>
      </c>
      <c r="E62" s="1">
        <f t="shared" si="3"/>
        <v>84.929113052461176</v>
      </c>
      <c r="F62" s="1">
        <f t="shared" si="4"/>
        <v>0.55411305246117593</v>
      </c>
    </row>
    <row r="63" spans="1:6">
      <c r="A63">
        <v>61</v>
      </c>
      <c r="B63" s="1">
        <f t="shared" si="0"/>
        <v>85.78125</v>
      </c>
      <c r="C63">
        <f t="shared" si="1"/>
        <v>0.99729045667869021</v>
      </c>
      <c r="D63">
        <f t="shared" si="2"/>
        <v>510</v>
      </c>
      <c r="E63" s="1">
        <f t="shared" si="3"/>
        <v>86.414926780511635</v>
      </c>
      <c r="F63" s="1">
        <f t="shared" si="4"/>
        <v>0.63367678051163523</v>
      </c>
    </row>
    <row r="64" spans="1:6">
      <c r="A64">
        <v>62</v>
      </c>
      <c r="B64" s="1">
        <f t="shared" si="0"/>
        <v>87.1875</v>
      </c>
      <c r="C64">
        <f t="shared" si="1"/>
        <v>0.99879545620517241</v>
      </c>
      <c r="D64">
        <f t="shared" si="2"/>
        <v>510</v>
      </c>
      <c r="E64" s="1">
        <f t="shared" si="3"/>
        <v>86.414926780511635</v>
      </c>
      <c r="F64" s="1">
        <f t="shared" si="4"/>
        <v>-0.77257321948836477</v>
      </c>
    </row>
    <row r="65" spans="1:6">
      <c r="A65">
        <v>63</v>
      </c>
      <c r="B65" s="1">
        <f t="shared" si="0"/>
        <v>88.59375</v>
      </c>
      <c r="C65">
        <f t="shared" si="1"/>
        <v>0.99969881869620425</v>
      </c>
      <c r="D65">
        <f t="shared" si="2"/>
        <v>511</v>
      </c>
      <c r="E65" s="1">
        <f t="shared" si="3"/>
        <v>90</v>
      </c>
      <c r="F65" s="1">
        <f t="shared" si="4"/>
        <v>1.40625</v>
      </c>
    </row>
    <row r="66" spans="1:6">
      <c r="E66" s="1"/>
      <c r="F66" s="1"/>
    </row>
    <row r="67" spans="1:6">
      <c r="E67" s="1"/>
    </row>
    <row r="68" spans="1:6">
      <c r="E68" s="1"/>
    </row>
    <row r="69" spans="1:6">
      <c r="E69" s="1"/>
    </row>
    <row r="70" spans="1:6">
      <c r="E70" s="1"/>
    </row>
    <row r="71" spans="1:6">
      <c r="E71" s="1"/>
    </row>
    <row r="72" spans="1:6">
      <c r="E72" s="1"/>
    </row>
    <row r="73" spans="1:6">
      <c r="E73" s="1"/>
    </row>
    <row r="74" spans="1:6">
      <c r="E74" s="1"/>
    </row>
    <row r="75" spans="1:6">
      <c r="E75" s="1"/>
    </row>
    <row r="76" spans="1:6">
      <c r="E76" s="1"/>
    </row>
    <row r="77" spans="1:6">
      <c r="E77" s="1"/>
    </row>
    <row r="78" spans="1:6">
      <c r="E78" s="1"/>
    </row>
    <row r="79" spans="1:6">
      <c r="E79" s="1"/>
    </row>
    <row r="80" spans="1:6">
      <c r="E80" s="1"/>
    </row>
    <row r="81" spans="5:5">
      <c r="E81" s="1"/>
    </row>
    <row r="82" spans="5:5">
      <c r="E82" s="1"/>
    </row>
    <row r="83" spans="5:5">
      <c r="E83" s="1"/>
    </row>
    <row r="84" spans="5:5">
      <c r="E84" s="1"/>
    </row>
    <row r="85" spans="5:5">
      <c r="E85" s="1"/>
    </row>
    <row r="86" spans="5:5">
      <c r="E86" s="1"/>
    </row>
    <row r="87" spans="5:5">
      <c r="E87" s="1"/>
    </row>
    <row r="88" spans="5:5">
      <c r="E88" s="1"/>
    </row>
    <row r="89" spans="5:5">
      <c r="E89" s="1"/>
    </row>
    <row r="90" spans="5:5">
      <c r="E90" s="1"/>
    </row>
    <row r="91" spans="5:5">
      <c r="E91" s="1"/>
    </row>
    <row r="92" spans="5:5">
      <c r="E92" s="1"/>
    </row>
    <row r="93" spans="5:5">
      <c r="E93" s="1"/>
    </row>
    <row r="94" spans="5:5">
      <c r="E94" s="1"/>
    </row>
    <row r="95" spans="5:5">
      <c r="E95" s="1"/>
    </row>
    <row r="96" spans="5:5">
      <c r="E96" s="1"/>
    </row>
    <row r="97" spans="5:5">
      <c r="E97" s="1"/>
    </row>
    <row r="98" spans="5:5">
      <c r="E98" s="1"/>
    </row>
    <row r="99" spans="5:5">
      <c r="E99" s="1"/>
    </row>
    <row r="100" spans="5:5">
      <c r="E100" s="1"/>
    </row>
    <row r="101" spans="5:5">
      <c r="E101" s="1"/>
    </row>
    <row r="102" spans="5:5">
      <c r="E102" s="1"/>
    </row>
    <row r="103" spans="5:5">
      <c r="E103" s="1"/>
    </row>
    <row r="104" spans="5:5">
      <c r="E104" s="1"/>
    </row>
    <row r="105" spans="5:5">
      <c r="E105" s="1"/>
    </row>
    <row r="106" spans="5:5">
      <c r="E106" s="1"/>
    </row>
    <row r="107" spans="5:5">
      <c r="E107" s="1"/>
    </row>
    <row r="108" spans="5:5">
      <c r="E108" s="1"/>
    </row>
    <row r="109" spans="5:5">
      <c r="E109" s="1"/>
    </row>
    <row r="110" spans="5:5">
      <c r="E110" s="1"/>
    </row>
    <row r="111" spans="5:5">
      <c r="E111" s="1"/>
    </row>
    <row r="112" spans="5:5">
      <c r="E112" s="1"/>
    </row>
    <row r="113" spans="5:5">
      <c r="E113" s="1"/>
    </row>
    <row r="114" spans="5:5">
      <c r="E114" s="1"/>
    </row>
    <row r="115" spans="5:5">
      <c r="E115" s="1"/>
    </row>
    <row r="116" spans="5:5">
      <c r="E116" s="1"/>
    </row>
    <row r="117" spans="5:5">
      <c r="E117" s="1"/>
    </row>
    <row r="118" spans="5:5">
      <c r="E118" s="1"/>
    </row>
    <row r="119" spans="5:5">
      <c r="E119" s="1"/>
    </row>
    <row r="120" spans="5:5">
      <c r="E120" s="1"/>
    </row>
    <row r="121" spans="5:5">
      <c r="E121" s="1"/>
    </row>
    <row r="122" spans="5:5">
      <c r="E122" s="1"/>
    </row>
    <row r="123" spans="5:5">
      <c r="E123" s="1"/>
    </row>
    <row r="124" spans="5:5">
      <c r="E124" s="1"/>
    </row>
    <row r="125" spans="5:5">
      <c r="E125" s="1"/>
    </row>
    <row r="126" spans="5:5">
      <c r="E126" s="1"/>
    </row>
    <row r="127" spans="5:5">
      <c r="E127" s="1"/>
    </row>
    <row r="128" spans="5:5">
      <c r="E128" s="1"/>
    </row>
    <row r="129" spans="5:5">
      <c r="E129" s="1"/>
    </row>
    <row r="130" spans="5:5">
      <c r="E130" s="1"/>
    </row>
    <row r="131" spans="5:5">
      <c r="E131" s="1"/>
    </row>
    <row r="132" spans="5:5">
      <c r="E132" s="1"/>
    </row>
    <row r="133" spans="5:5">
      <c r="E133" s="1"/>
    </row>
    <row r="134" spans="5:5">
      <c r="E134" s="1"/>
    </row>
    <row r="135" spans="5:5">
      <c r="E135" s="1"/>
    </row>
    <row r="136" spans="5:5">
      <c r="E136" s="1"/>
    </row>
    <row r="137" spans="5:5">
      <c r="E137" s="1"/>
    </row>
    <row r="138" spans="5:5">
      <c r="E138" s="1"/>
    </row>
    <row r="139" spans="5:5">
      <c r="E139" s="1"/>
    </row>
    <row r="140" spans="5:5">
      <c r="E140" s="1"/>
    </row>
    <row r="141" spans="5:5">
      <c r="E141" s="1"/>
    </row>
    <row r="142" spans="5:5">
      <c r="E142" s="1"/>
    </row>
    <row r="143" spans="5:5">
      <c r="E143" s="1"/>
    </row>
    <row r="144" spans="5:5">
      <c r="E144" s="1"/>
    </row>
    <row r="145" spans="5:5">
      <c r="E145" s="1"/>
    </row>
    <row r="146" spans="5:5">
      <c r="E146" s="1"/>
    </row>
    <row r="147" spans="5:5">
      <c r="E147" s="1"/>
    </row>
    <row r="148" spans="5:5">
      <c r="E148" s="1"/>
    </row>
    <row r="149" spans="5:5">
      <c r="E149" s="1"/>
    </row>
    <row r="150" spans="5:5">
      <c r="E150" s="1"/>
    </row>
    <row r="151" spans="5:5">
      <c r="E151" s="1"/>
    </row>
    <row r="152" spans="5:5">
      <c r="E152" s="1"/>
    </row>
    <row r="153" spans="5:5">
      <c r="E153" s="1"/>
    </row>
    <row r="154" spans="5:5">
      <c r="E154" s="1"/>
    </row>
    <row r="155" spans="5:5">
      <c r="E155" s="1"/>
    </row>
    <row r="156" spans="5:5">
      <c r="E156" s="1"/>
    </row>
    <row r="157" spans="5:5">
      <c r="E157" s="1"/>
    </row>
    <row r="158" spans="5:5">
      <c r="E158" s="1"/>
    </row>
    <row r="159" spans="5:5">
      <c r="E159" s="1"/>
    </row>
    <row r="160" spans="5:5">
      <c r="E160" s="1"/>
    </row>
    <row r="161" spans="5:5">
      <c r="E161" s="1"/>
    </row>
    <row r="162" spans="5:5">
      <c r="E162" s="1"/>
    </row>
    <row r="163" spans="5:5">
      <c r="E163" s="1"/>
    </row>
    <row r="164" spans="5:5">
      <c r="E164" s="1"/>
    </row>
    <row r="165" spans="5:5">
      <c r="E165" s="1"/>
    </row>
    <row r="166" spans="5:5">
      <c r="E166" s="1"/>
    </row>
    <row r="167" spans="5:5">
      <c r="E167" s="1"/>
    </row>
    <row r="168" spans="5:5">
      <c r="E168" s="1"/>
    </row>
    <row r="169" spans="5:5">
      <c r="E169" s="1"/>
    </row>
    <row r="170" spans="5:5">
      <c r="E170" s="1"/>
    </row>
    <row r="171" spans="5:5">
      <c r="E171" s="1"/>
    </row>
    <row r="172" spans="5:5">
      <c r="E172" s="1"/>
    </row>
    <row r="173" spans="5:5">
      <c r="E173" s="1"/>
    </row>
    <row r="174" spans="5:5">
      <c r="E174" s="1"/>
    </row>
    <row r="175" spans="5:5">
      <c r="E175" s="1"/>
    </row>
    <row r="176" spans="5:5">
      <c r="E176" s="1"/>
    </row>
    <row r="177" spans="5:5">
      <c r="E177" s="1"/>
    </row>
    <row r="178" spans="5:5">
      <c r="E178" s="1"/>
    </row>
    <row r="179" spans="5:5">
      <c r="E179" s="1"/>
    </row>
    <row r="180" spans="5:5">
      <c r="E180" s="1"/>
    </row>
    <row r="181" spans="5:5">
      <c r="E181" s="1"/>
    </row>
    <row r="182" spans="5:5">
      <c r="E182" s="1"/>
    </row>
    <row r="183" spans="5:5">
      <c r="E183" s="1"/>
    </row>
    <row r="184" spans="5:5">
      <c r="E184" s="1"/>
    </row>
    <row r="185" spans="5:5">
      <c r="E185" s="1"/>
    </row>
    <row r="186" spans="5:5">
      <c r="E186" s="1"/>
    </row>
    <row r="187" spans="5:5">
      <c r="E187" s="1"/>
    </row>
    <row r="188" spans="5:5">
      <c r="E188" s="1"/>
    </row>
    <row r="189" spans="5:5">
      <c r="E189" s="1"/>
    </row>
    <row r="190" spans="5:5">
      <c r="E190" s="1"/>
    </row>
    <row r="191" spans="5:5">
      <c r="E191" s="1"/>
    </row>
    <row r="192" spans="5:5">
      <c r="E192" s="1"/>
    </row>
    <row r="193" spans="5:5">
      <c r="E193" s="1"/>
    </row>
    <row r="194" spans="5:5">
      <c r="E194" s="1"/>
    </row>
    <row r="195" spans="5:5">
      <c r="E195" s="1"/>
    </row>
    <row r="196" spans="5:5">
      <c r="E196" s="1"/>
    </row>
    <row r="197" spans="5:5">
      <c r="E197" s="1"/>
    </row>
    <row r="198" spans="5:5">
      <c r="E198" s="1"/>
    </row>
    <row r="199" spans="5:5">
      <c r="E199" s="1"/>
    </row>
    <row r="200" spans="5:5">
      <c r="E200" s="1"/>
    </row>
    <row r="201" spans="5:5">
      <c r="E201" s="1"/>
    </row>
    <row r="202" spans="5:5">
      <c r="E202" s="1"/>
    </row>
    <row r="203" spans="5:5">
      <c r="E203" s="1"/>
    </row>
    <row r="204" spans="5:5">
      <c r="E204" s="1"/>
    </row>
    <row r="205" spans="5:5">
      <c r="E205" s="1"/>
    </row>
    <row r="206" spans="5:5">
      <c r="E206" s="1"/>
    </row>
    <row r="207" spans="5:5">
      <c r="E207" s="1"/>
    </row>
    <row r="208" spans="5:5">
      <c r="E208" s="1"/>
    </row>
    <row r="209" spans="5:5">
      <c r="E209" s="1"/>
    </row>
    <row r="210" spans="5:5">
      <c r="E210" s="1"/>
    </row>
    <row r="211" spans="5:5">
      <c r="E211" s="1"/>
    </row>
    <row r="212" spans="5:5">
      <c r="E212" s="1"/>
    </row>
    <row r="213" spans="5:5">
      <c r="E213" s="1"/>
    </row>
    <row r="214" spans="5:5">
      <c r="E214" s="1"/>
    </row>
    <row r="215" spans="5:5">
      <c r="E215" s="1"/>
    </row>
    <row r="216" spans="5:5">
      <c r="E216" s="1"/>
    </row>
    <row r="217" spans="5:5">
      <c r="E217" s="1"/>
    </row>
    <row r="218" spans="5:5">
      <c r="E218" s="1"/>
    </row>
    <row r="219" spans="5:5">
      <c r="E219" s="1"/>
    </row>
    <row r="220" spans="5:5">
      <c r="E220" s="1"/>
    </row>
    <row r="221" spans="5:5">
      <c r="E221" s="1"/>
    </row>
    <row r="222" spans="5:5">
      <c r="E222" s="1"/>
    </row>
    <row r="223" spans="5:5">
      <c r="E223" s="1"/>
    </row>
    <row r="224" spans="5:5">
      <c r="E224" s="1"/>
    </row>
    <row r="225" spans="5:5">
      <c r="E225" s="1"/>
    </row>
    <row r="226" spans="5:5">
      <c r="E226" s="1"/>
    </row>
    <row r="227" spans="5:5">
      <c r="E227" s="1"/>
    </row>
    <row r="228" spans="5:5">
      <c r="E228" s="1"/>
    </row>
    <row r="229" spans="5:5">
      <c r="E229" s="1"/>
    </row>
    <row r="230" spans="5:5">
      <c r="E230" s="1"/>
    </row>
    <row r="231" spans="5:5">
      <c r="E231" s="1"/>
    </row>
    <row r="232" spans="5:5">
      <c r="E232" s="1"/>
    </row>
    <row r="233" spans="5:5">
      <c r="E233" s="1"/>
    </row>
    <row r="234" spans="5:5">
      <c r="E234" s="1"/>
    </row>
    <row r="235" spans="5:5">
      <c r="E235" s="1"/>
    </row>
    <row r="236" spans="5:5">
      <c r="E236" s="1"/>
    </row>
    <row r="237" spans="5:5">
      <c r="E237" s="1"/>
    </row>
    <row r="238" spans="5:5">
      <c r="E238" s="1"/>
    </row>
    <row r="239" spans="5:5">
      <c r="E239" s="1"/>
    </row>
    <row r="240" spans="5:5">
      <c r="E240" s="1"/>
    </row>
    <row r="241" spans="5:5">
      <c r="E241" s="1"/>
    </row>
    <row r="242" spans="5:5">
      <c r="E242" s="1"/>
    </row>
    <row r="243" spans="5:5">
      <c r="E243" s="1"/>
    </row>
    <row r="244" spans="5:5">
      <c r="E244" s="1"/>
    </row>
    <row r="245" spans="5:5">
      <c r="E245" s="1"/>
    </row>
    <row r="246" spans="5:5">
      <c r="E246" s="1"/>
    </row>
    <row r="247" spans="5:5">
      <c r="E247" s="1"/>
    </row>
    <row r="248" spans="5:5">
      <c r="E248" s="1"/>
    </row>
    <row r="249" spans="5:5">
      <c r="E249" s="1"/>
    </row>
    <row r="250" spans="5:5">
      <c r="E250" s="1"/>
    </row>
    <row r="251" spans="5:5">
      <c r="E251" s="1"/>
    </row>
    <row r="252" spans="5:5">
      <c r="E252" s="1"/>
    </row>
    <row r="253" spans="5:5">
      <c r="E253" s="1"/>
    </row>
    <row r="254" spans="5:5">
      <c r="E254" s="1"/>
    </row>
    <row r="255" spans="5:5">
      <c r="E255" s="1"/>
    </row>
    <row r="256" spans="5:5">
      <c r="E256" s="1"/>
    </row>
    <row r="257" spans="5:5">
      <c r="E257" s="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Munka2"/>
  <dimension ref="A1:F257"/>
  <sheetViews>
    <sheetView workbookViewId="0">
      <selection activeCell="D3" sqref="D3"/>
    </sheetView>
  </sheetViews>
  <sheetFormatPr defaultRowHeight="15"/>
  <cols>
    <col min="1" max="1" width="17.28515625" customWidth="1"/>
    <col min="2" max="2" width="12.5703125" style="1" bestFit="1" customWidth="1"/>
    <col min="3" max="3" width="17" customWidth="1"/>
    <col min="4" max="4" width="22.85546875" bestFit="1" customWidth="1"/>
    <col min="5" max="5" width="19.5703125" customWidth="1"/>
  </cols>
  <sheetData>
    <row r="1" spans="1:6">
      <c r="A1" t="s">
        <v>6</v>
      </c>
      <c r="B1" s="1" t="s">
        <v>0</v>
      </c>
      <c r="C1" t="s">
        <v>1</v>
      </c>
      <c r="D1" t="s">
        <v>5</v>
      </c>
      <c r="E1" t="s">
        <v>2</v>
      </c>
      <c r="F1" t="s">
        <v>3</v>
      </c>
    </row>
    <row r="2" spans="1:6">
      <c r="A2">
        <v>0</v>
      </c>
      <c r="B2" s="1">
        <f>360/16*A2</f>
        <v>0</v>
      </c>
      <c r="C2">
        <f>SIN(RADIANS(B2))</f>
        <v>0</v>
      </c>
      <c r="D2">
        <f>ROUND(C2*255,0)</f>
        <v>0</v>
      </c>
      <c r="E2" s="1">
        <f>DEGREES(ASIN(D2/255))</f>
        <v>0</v>
      </c>
      <c r="F2" s="1">
        <f>E2-B2</f>
        <v>0</v>
      </c>
    </row>
    <row r="3" spans="1:6">
      <c r="A3">
        <v>1</v>
      </c>
      <c r="B3" s="1">
        <f t="shared" ref="B3:B5" si="0">360/16*A3</f>
        <v>22.5</v>
      </c>
      <c r="C3">
        <f t="shared" ref="C3:C5" si="1">SIN(RADIANS(B3))</f>
        <v>0.38268343236508978</v>
      </c>
      <c r="D3">
        <f t="shared" ref="D3:D5" si="2">ROUND(C3*255,0)</f>
        <v>98</v>
      </c>
      <c r="E3" s="1">
        <f t="shared" ref="E3:E5" si="3">DEGREES(ASIN(D3/255))</f>
        <v>22.601142111371402</v>
      </c>
      <c r="F3" s="1">
        <f t="shared" ref="F3:F5" si="4">E3-B3</f>
        <v>0.10114211137140217</v>
      </c>
    </row>
    <row r="4" spans="1:6">
      <c r="A4">
        <v>2</v>
      </c>
      <c r="B4" s="1">
        <f t="shared" si="0"/>
        <v>45</v>
      </c>
      <c r="C4">
        <f t="shared" si="1"/>
        <v>0.70710678118654746</v>
      </c>
      <c r="D4">
        <f t="shared" si="2"/>
        <v>180</v>
      </c>
      <c r="E4" s="1">
        <f t="shared" si="3"/>
        <v>44.900872155972706</v>
      </c>
      <c r="F4" s="1">
        <f t="shared" si="4"/>
        <v>-9.9127844027293577E-2</v>
      </c>
    </row>
    <row r="5" spans="1:6">
      <c r="A5">
        <v>3</v>
      </c>
      <c r="B5" s="1">
        <f t="shared" si="0"/>
        <v>67.5</v>
      </c>
      <c r="C5">
        <f t="shared" si="1"/>
        <v>0.92387953251128674</v>
      </c>
      <c r="D5">
        <f t="shared" si="2"/>
        <v>236</v>
      </c>
      <c r="E5" s="1">
        <f t="shared" si="3"/>
        <v>67.742388814930365</v>
      </c>
      <c r="F5" s="1">
        <f t="shared" si="4"/>
        <v>0.24238881493036502</v>
      </c>
    </row>
    <row r="6" spans="1:6">
      <c r="E6" s="1"/>
      <c r="F6" s="1"/>
    </row>
    <row r="7" spans="1:6">
      <c r="E7" s="1"/>
      <c r="F7" s="1"/>
    </row>
    <row r="8" spans="1:6">
      <c r="E8" s="1"/>
      <c r="F8" s="1"/>
    </row>
    <row r="9" spans="1:6">
      <c r="E9" s="1"/>
      <c r="F9" s="1"/>
    </row>
    <row r="10" spans="1:6">
      <c r="E10" s="1"/>
      <c r="F10" s="1"/>
    </row>
    <row r="11" spans="1:6">
      <c r="E11" s="1"/>
      <c r="F11" s="1"/>
    </row>
    <row r="12" spans="1:6">
      <c r="E12" s="1"/>
      <c r="F12" s="1"/>
    </row>
    <row r="13" spans="1:6">
      <c r="E13" s="1"/>
      <c r="F13" s="1"/>
    </row>
    <row r="14" spans="1:6">
      <c r="E14" s="1"/>
      <c r="F14" s="1"/>
    </row>
    <row r="15" spans="1:6">
      <c r="E15" s="1"/>
      <c r="F15" s="1"/>
    </row>
    <row r="16" spans="1:6">
      <c r="E16" s="1"/>
      <c r="F16" s="1"/>
    </row>
    <row r="17" spans="5:6">
      <c r="E17" s="1"/>
      <c r="F17" s="1"/>
    </row>
    <row r="18" spans="5:6">
      <c r="E18" s="1"/>
      <c r="F18" s="1"/>
    </row>
    <row r="19" spans="5:6">
      <c r="E19" s="1"/>
      <c r="F19" s="1"/>
    </row>
    <row r="20" spans="5:6">
      <c r="E20" s="1"/>
      <c r="F20" s="1"/>
    </row>
    <row r="21" spans="5:6">
      <c r="E21" s="1"/>
      <c r="F21" s="1"/>
    </row>
    <row r="22" spans="5:6">
      <c r="E22" s="1"/>
      <c r="F22" s="1"/>
    </row>
    <row r="23" spans="5:6">
      <c r="E23" s="1"/>
      <c r="F23" s="1"/>
    </row>
    <row r="24" spans="5:6">
      <c r="E24" s="1"/>
      <c r="F24" s="1"/>
    </row>
    <row r="25" spans="5:6">
      <c r="E25" s="1"/>
      <c r="F25" s="1"/>
    </row>
    <row r="26" spans="5:6">
      <c r="E26" s="1"/>
      <c r="F26" s="1"/>
    </row>
    <row r="27" spans="5:6">
      <c r="E27" s="1"/>
      <c r="F27" s="1"/>
    </row>
    <row r="28" spans="5:6">
      <c r="E28" s="1"/>
      <c r="F28" s="1"/>
    </row>
    <row r="29" spans="5:6">
      <c r="E29" s="1"/>
      <c r="F29" s="1"/>
    </row>
    <row r="30" spans="5:6">
      <c r="E30" s="1"/>
      <c r="F30" s="1"/>
    </row>
    <row r="31" spans="5:6">
      <c r="E31" s="1"/>
      <c r="F31" s="1"/>
    </row>
    <row r="32" spans="5:6">
      <c r="E32" s="1"/>
      <c r="F32" s="1"/>
    </row>
    <row r="33" spans="5:6">
      <c r="E33" s="1"/>
      <c r="F33" s="1"/>
    </row>
    <row r="34" spans="5:6">
      <c r="E34" s="1"/>
      <c r="F34" s="1"/>
    </row>
    <row r="35" spans="5:6">
      <c r="E35" s="1"/>
      <c r="F35" s="1"/>
    </row>
    <row r="36" spans="5:6">
      <c r="E36" s="1"/>
      <c r="F36" s="1"/>
    </row>
    <row r="37" spans="5:6">
      <c r="E37" s="1"/>
      <c r="F37" s="1"/>
    </row>
    <row r="38" spans="5:6">
      <c r="E38" s="1"/>
      <c r="F38" s="1"/>
    </row>
    <row r="39" spans="5:6">
      <c r="E39" s="1"/>
      <c r="F39" s="1"/>
    </row>
    <row r="40" spans="5:6">
      <c r="E40" s="1"/>
      <c r="F40" s="1"/>
    </row>
    <row r="41" spans="5:6">
      <c r="E41" s="1"/>
      <c r="F41" s="1"/>
    </row>
    <row r="42" spans="5:6">
      <c r="E42" s="1"/>
      <c r="F42" s="1"/>
    </row>
    <row r="43" spans="5:6">
      <c r="E43" s="1"/>
      <c r="F43" s="1"/>
    </row>
    <row r="44" spans="5:6">
      <c r="E44" s="1"/>
      <c r="F44" s="1"/>
    </row>
    <row r="45" spans="5:6">
      <c r="E45" s="1"/>
      <c r="F45" s="1"/>
    </row>
    <row r="46" spans="5:6">
      <c r="E46" s="1"/>
      <c r="F46" s="1"/>
    </row>
    <row r="47" spans="5:6">
      <c r="E47" s="1"/>
      <c r="F47" s="1"/>
    </row>
    <row r="48" spans="5:6">
      <c r="E48" s="1"/>
      <c r="F48" s="1"/>
    </row>
    <row r="49" spans="5:6">
      <c r="E49" s="1"/>
      <c r="F49" s="1"/>
    </row>
    <row r="50" spans="5:6">
      <c r="E50" s="1"/>
      <c r="F50" s="1"/>
    </row>
    <row r="51" spans="5:6">
      <c r="E51" s="1"/>
      <c r="F51" s="1"/>
    </row>
    <row r="52" spans="5:6">
      <c r="E52" s="1"/>
      <c r="F52" s="1"/>
    </row>
    <row r="53" spans="5:6">
      <c r="E53" s="1"/>
      <c r="F53" s="1"/>
    </row>
    <row r="54" spans="5:6">
      <c r="E54" s="1"/>
      <c r="F54" s="1"/>
    </row>
    <row r="55" spans="5:6">
      <c r="E55" s="1"/>
      <c r="F55" s="1"/>
    </row>
    <row r="56" spans="5:6">
      <c r="E56" s="1"/>
      <c r="F56" s="1"/>
    </row>
    <row r="57" spans="5:6">
      <c r="E57" s="1"/>
      <c r="F57" s="1"/>
    </row>
    <row r="58" spans="5:6">
      <c r="E58" s="1"/>
      <c r="F58" s="1"/>
    </row>
    <row r="59" spans="5:6">
      <c r="E59" s="1"/>
      <c r="F59" s="1"/>
    </row>
    <row r="60" spans="5:6">
      <c r="E60" s="1"/>
      <c r="F60" s="1"/>
    </row>
    <row r="61" spans="5:6">
      <c r="E61" s="1"/>
      <c r="F61" s="1"/>
    </row>
    <row r="62" spans="5:6">
      <c r="E62" s="1"/>
      <c r="F62" s="1"/>
    </row>
    <row r="63" spans="5:6">
      <c r="E63" s="1"/>
      <c r="F63" s="1"/>
    </row>
    <row r="64" spans="5:6">
      <c r="E64" s="1"/>
      <c r="F64" s="1"/>
    </row>
    <row r="65" spans="5:6">
      <c r="E65" s="1"/>
      <c r="F65" s="1"/>
    </row>
    <row r="66" spans="5:6">
      <c r="E66" s="1"/>
      <c r="F66" s="1"/>
    </row>
    <row r="67" spans="5:6">
      <c r="E67" s="1"/>
    </row>
    <row r="68" spans="5:6">
      <c r="E68" s="1"/>
    </row>
    <row r="69" spans="5:6">
      <c r="E69" s="1"/>
    </row>
    <row r="70" spans="5:6">
      <c r="E70" s="1"/>
    </row>
    <row r="71" spans="5:6">
      <c r="E71" s="1"/>
    </row>
    <row r="72" spans="5:6">
      <c r="E72" s="1"/>
    </row>
    <row r="73" spans="5:6">
      <c r="E73" s="1"/>
    </row>
    <row r="74" spans="5:6">
      <c r="E74" s="1"/>
    </row>
    <row r="75" spans="5:6">
      <c r="E75" s="1"/>
    </row>
    <row r="76" spans="5:6">
      <c r="E76" s="1"/>
    </row>
    <row r="77" spans="5:6">
      <c r="E77" s="1"/>
    </row>
    <row r="78" spans="5:6">
      <c r="E78" s="1"/>
    </row>
    <row r="79" spans="5:6">
      <c r="E79" s="1"/>
    </row>
    <row r="80" spans="5:6">
      <c r="E80" s="1"/>
    </row>
    <row r="81" spans="5:5">
      <c r="E81" s="1"/>
    </row>
    <row r="82" spans="5:5">
      <c r="E82" s="1"/>
    </row>
    <row r="83" spans="5:5">
      <c r="E83" s="1"/>
    </row>
    <row r="84" spans="5:5">
      <c r="E84" s="1"/>
    </row>
    <row r="85" spans="5:5">
      <c r="E85" s="1"/>
    </row>
    <row r="86" spans="5:5">
      <c r="E86" s="1"/>
    </row>
    <row r="87" spans="5:5">
      <c r="E87" s="1"/>
    </row>
    <row r="88" spans="5:5">
      <c r="E88" s="1"/>
    </row>
    <row r="89" spans="5:5">
      <c r="E89" s="1"/>
    </row>
    <row r="90" spans="5:5">
      <c r="E90" s="1"/>
    </row>
    <row r="91" spans="5:5">
      <c r="E91" s="1"/>
    </row>
    <row r="92" spans="5:5">
      <c r="E92" s="1"/>
    </row>
    <row r="93" spans="5:5">
      <c r="E93" s="1"/>
    </row>
    <row r="94" spans="5:5">
      <c r="E94" s="1"/>
    </row>
    <row r="95" spans="5:5">
      <c r="E95" s="1"/>
    </row>
    <row r="96" spans="5:5">
      <c r="E96" s="1"/>
    </row>
    <row r="97" spans="5:5">
      <c r="E97" s="1"/>
    </row>
    <row r="98" spans="5:5">
      <c r="E98" s="1"/>
    </row>
    <row r="99" spans="5:5">
      <c r="E99" s="1"/>
    </row>
    <row r="100" spans="5:5">
      <c r="E100" s="1"/>
    </row>
    <row r="101" spans="5:5">
      <c r="E101" s="1"/>
    </row>
    <row r="102" spans="5:5">
      <c r="E102" s="1"/>
    </row>
    <row r="103" spans="5:5">
      <c r="E103" s="1"/>
    </row>
    <row r="104" spans="5:5">
      <c r="E104" s="1"/>
    </row>
    <row r="105" spans="5:5">
      <c r="E105" s="1"/>
    </row>
    <row r="106" spans="5:5">
      <c r="E106" s="1"/>
    </row>
    <row r="107" spans="5:5">
      <c r="E107" s="1"/>
    </row>
    <row r="108" spans="5:5">
      <c r="E108" s="1"/>
    </row>
    <row r="109" spans="5:5">
      <c r="E109" s="1"/>
    </row>
    <row r="110" spans="5:5">
      <c r="E110" s="1"/>
    </row>
    <row r="111" spans="5:5">
      <c r="E111" s="1"/>
    </row>
    <row r="112" spans="5:5">
      <c r="E112" s="1"/>
    </row>
    <row r="113" spans="5:5">
      <c r="E113" s="1"/>
    </row>
    <row r="114" spans="5:5">
      <c r="E114" s="1"/>
    </row>
    <row r="115" spans="5:5">
      <c r="E115" s="1"/>
    </row>
    <row r="116" spans="5:5">
      <c r="E116" s="1"/>
    </row>
    <row r="117" spans="5:5">
      <c r="E117" s="1"/>
    </row>
    <row r="118" spans="5:5">
      <c r="E118" s="1"/>
    </row>
    <row r="119" spans="5:5">
      <c r="E119" s="1"/>
    </row>
    <row r="120" spans="5:5">
      <c r="E120" s="1"/>
    </row>
    <row r="121" spans="5:5">
      <c r="E121" s="1"/>
    </row>
    <row r="122" spans="5:5">
      <c r="E122" s="1"/>
    </row>
    <row r="123" spans="5:5">
      <c r="E123" s="1"/>
    </row>
    <row r="124" spans="5:5">
      <c r="E124" s="1"/>
    </row>
    <row r="125" spans="5:5">
      <c r="E125" s="1"/>
    </row>
    <row r="126" spans="5:5">
      <c r="E126" s="1"/>
    </row>
    <row r="127" spans="5:5">
      <c r="E127" s="1"/>
    </row>
    <row r="128" spans="5:5">
      <c r="E128" s="1"/>
    </row>
    <row r="129" spans="5:5">
      <c r="E129" s="1"/>
    </row>
    <row r="130" spans="5:5">
      <c r="E130" s="1"/>
    </row>
    <row r="131" spans="5:5">
      <c r="E131" s="1"/>
    </row>
    <row r="132" spans="5:5">
      <c r="E132" s="1"/>
    </row>
    <row r="133" spans="5:5">
      <c r="E133" s="1"/>
    </row>
    <row r="134" spans="5:5">
      <c r="E134" s="1"/>
    </row>
    <row r="135" spans="5:5">
      <c r="E135" s="1"/>
    </row>
    <row r="136" spans="5:5">
      <c r="E136" s="1"/>
    </row>
    <row r="137" spans="5:5">
      <c r="E137" s="1"/>
    </row>
    <row r="138" spans="5:5">
      <c r="E138" s="1"/>
    </row>
    <row r="139" spans="5:5">
      <c r="E139" s="1"/>
    </row>
    <row r="140" spans="5:5">
      <c r="E140" s="1"/>
    </row>
    <row r="141" spans="5:5">
      <c r="E141" s="1"/>
    </row>
    <row r="142" spans="5:5">
      <c r="E142" s="1"/>
    </row>
    <row r="143" spans="5:5">
      <c r="E143" s="1"/>
    </row>
    <row r="144" spans="5:5">
      <c r="E144" s="1"/>
    </row>
    <row r="145" spans="5:5">
      <c r="E145" s="1"/>
    </row>
    <row r="146" spans="5:5">
      <c r="E146" s="1"/>
    </row>
    <row r="147" spans="5:5">
      <c r="E147" s="1"/>
    </row>
    <row r="148" spans="5:5">
      <c r="E148" s="1"/>
    </row>
    <row r="149" spans="5:5">
      <c r="E149" s="1"/>
    </row>
    <row r="150" spans="5:5">
      <c r="E150" s="1"/>
    </row>
    <row r="151" spans="5:5">
      <c r="E151" s="1"/>
    </row>
    <row r="152" spans="5:5">
      <c r="E152" s="1"/>
    </row>
    <row r="153" spans="5:5">
      <c r="E153" s="1"/>
    </row>
    <row r="154" spans="5:5">
      <c r="E154" s="1"/>
    </row>
    <row r="155" spans="5:5">
      <c r="E155" s="1"/>
    </row>
    <row r="156" spans="5:5">
      <c r="E156" s="1"/>
    </row>
    <row r="157" spans="5:5">
      <c r="E157" s="1"/>
    </row>
    <row r="158" spans="5:5">
      <c r="E158" s="1"/>
    </row>
    <row r="159" spans="5:5">
      <c r="E159" s="1"/>
    </row>
    <row r="160" spans="5:5">
      <c r="E160" s="1"/>
    </row>
    <row r="161" spans="5:5">
      <c r="E161" s="1"/>
    </row>
    <row r="162" spans="5:5">
      <c r="E162" s="1"/>
    </row>
    <row r="163" spans="5:5">
      <c r="E163" s="1"/>
    </row>
    <row r="164" spans="5:5">
      <c r="E164" s="1"/>
    </row>
    <row r="165" spans="5:5">
      <c r="E165" s="1"/>
    </row>
    <row r="166" spans="5:5">
      <c r="E166" s="1"/>
    </row>
    <row r="167" spans="5:5">
      <c r="E167" s="1"/>
    </row>
    <row r="168" spans="5:5">
      <c r="E168" s="1"/>
    </row>
    <row r="169" spans="5:5">
      <c r="E169" s="1"/>
    </row>
    <row r="170" spans="5:5">
      <c r="E170" s="1"/>
    </row>
    <row r="171" spans="5:5">
      <c r="E171" s="1"/>
    </row>
    <row r="172" spans="5:5">
      <c r="E172" s="1"/>
    </row>
    <row r="173" spans="5:5">
      <c r="E173" s="1"/>
    </row>
    <row r="174" spans="5:5">
      <c r="E174" s="1"/>
    </row>
    <row r="175" spans="5:5">
      <c r="E175" s="1"/>
    </row>
    <row r="176" spans="5:5">
      <c r="E176" s="1"/>
    </row>
    <row r="177" spans="5:5">
      <c r="E177" s="1"/>
    </row>
    <row r="178" spans="5:5">
      <c r="E178" s="1"/>
    </row>
    <row r="179" spans="5:5">
      <c r="E179" s="1"/>
    </row>
    <row r="180" spans="5:5">
      <c r="E180" s="1"/>
    </row>
    <row r="181" spans="5:5">
      <c r="E181" s="1"/>
    </row>
    <row r="182" spans="5:5">
      <c r="E182" s="1"/>
    </row>
    <row r="183" spans="5:5">
      <c r="E183" s="1"/>
    </row>
    <row r="184" spans="5:5">
      <c r="E184" s="1"/>
    </row>
    <row r="185" spans="5:5">
      <c r="E185" s="1"/>
    </row>
    <row r="186" spans="5:5">
      <c r="E186" s="1"/>
    </row>
    <row r="187" spans="5:5">
      <c r="E187" s="1"/>
    </row>
    <row r="188" spans="5:5">
      <c r="E188" s="1"/>
    </row>
    <row r="189" spans="5:5">
      <c r="E189" s="1"/>
    </row>
    <row r="190" spans="5:5">
      <c r="E190" s="1"/>
    </row>
    <row r="191" spans="5:5">
      <c r="E191" s="1"/>
    </row>
    <row r="192" spans="5:5">
      <c r="E192" s="1"/>
    </row>
    <row r="193" spans="5:5">
      <c r="E193" s="1"/>
    </row>
    <row r="194" spans="5:5">
      <c r="E194" s="1"/>
    </row>
    <row r="195" spans="5:5">
      <c r="E195" s="1"/>
    </row>
    <row r="196" spans="5:5">
      <c r="E196" s="1"/>
    </row>
    <row r="197" spans="5:5">
      <c r="E197" s="1"/>
    </row>
    <row r="198" spans="5:5">
      <c r="E198" s="1"/>
    </row>
    <row r="199" spans="5:5">
      <c r="E199" s="1"/>
    </row>
    <row r="200" spans="5:5">
      <c r="E200" s="1"/>
    </row>
    <row r="201" spans="5:5">
      <c r="E201" s="1"/>
    </row>
    <row r="202" spans="5:5">
      <c r="E202" s="1"/>
    </row>
    <row r="203" spans="5:5">
      <c r="E203" s="1"/>
    </row>
    <row r="204" spans="5:5">
      <c r="E204" s="1"/>
    </row>
    <row r="205" spans="5:5">
      <c r="E205" s="1"/>
    </row>
    <row r="206" spans="5:5">
      <c r="E206" s="1"/>
    </row>
    <row r="207" spans="5:5">
      <c r="E207" s="1"/>
    </row>
    <row r="208" spans="5:5">
      <c r="E208" s="1"/>
    </row>
    <row r="209" spans="5:5">
      <c r="E209" s="1"/>
    </row>
    <row r="210" spans="5:5">
      <c r="E210" s="1"/>
    </row>
    <row r="211" spans="5:5">
      <c r="E211" s="1"/>
    </row>
    <row r="212" spans="5:5">
      <c r="E212" s="1"/>
    </row>
    <row r="213" spans="5:5">
      <c r="E213" s="1"/>
    </row>
    <row r="214" spans="5:5">
      <c r="E214" s="1"/>
    </row>
    <row r="215" spans="5:5">
      <c r="E215" s="1"/>
    </row>
    <row r="216" spans="5:5">
      <c r="E216" s="1"/>
    </row>
    <row r="217" spans="5:5">
      <c r="E217" s="1"/>
    </row>
    <row r="218" spans="5:5">
      <c r="E218" s="1"/>
    </row>
    <row r="219" spans="5:5">
      <c r="E219" s="1"/>
    </row>
    <row r="220" spans="5:5">
      <c r="E220" s="1"/>
    </row>
    <row r="221" spans="5:5">
      <c r="E221" s="1"/>
    </row>
    <row r="222" spans="5:5">
      <c r="E222" s="1"/>
    </row>
    <row r="223" spans="5:5">
      <c r="E223" s="1"/>
    </row>
    <row r="224" spans="5:5">
      <c r="E224" s="1"/>
    </row>
    <row r="225" spans="5:5">
      <c r="E225" s="1"/>
    </row>
    <row r="226" spans="5:5">
      <c r="E226" s="1"/>
    </row>
    <row r="227" spans="5:5">
      <c r="E227" s="1"/>
    </row>
    <row r="228" spans="5:5">
      <c r="E228" s="1"/>
    </row>
    <row r="229" spans="5:5">
      <c r="E229" s="1"/>
    </row>
    <row r="230" spans="5:5">
      <c r="E230" s="1"/>
    </row>
    <row r="231" spans="5:5">
      <c r="E231" s="1"/>
    </row>
    <row r="232" spans="5:5">
      <c r="E232" s="1"/>
    </row>
    <row r="233" spans="5:5">
      <c r="E233" s="1"/>
    </row>
    <row r="234" spans="5:5">
      <c r="E234" s="1"/>
    </row>
    <row r="235" spans="5:5">
      <c r="E235" s="1"/>
    </row>
    <row r="236" spans="5:5">
      <c r="E236" s="1"/>
    </row>
    <row r="237" spans="5:5">
      <c r="E237" s="1"/>
    </row>
    <row r="238" spans="5:5">
      <c r="E238" s="1"/>
    </row>
    <row r="239" spans="5:5">
      <c r="E239" s="1"/>
    </row>
    <row r="240" spans="5:5">
      <c r="E240" s="1"/>
    </row>
    <row r="241" spans="5:5">
      <c r="E241" s="1"/>
    </row>
    <row r="242" spans="5:5">
      <c r="E242" s="1"/>
    </row>
    <row r="243" spans="5:5">
      <c r="E243" s="1"/>
    </row>
    <row r="244" spans="5:5">
      <c r="E244" s="1"/>
    </row>
    <row r="245" spans="5:5">
      <c r="E245" s="1"/>
    </row>
    <row r="246" spans="5:5">
      <c r="E246" s="1"/>
    </row>
    <row r="247" spans="5:5">
      <c r="E247" s="1"/>
    </row>
    <row r="248" spans="5:5">
      <c r="E248" s="1"/>
    </row>
    <row r="249" spans="5:5">
      <c r="E249" s="1"/>
    </row>
    <row r="250" spans="5:5">
      <c r="E250" s="1"/>
    </row>
    <row r="251" spans="5:5">
      <c r="E251" s="1"/>
    </row>
    <row r="252" spans="5:5">
      <c r="E252" s="1"/>
    </row>
    <row r="253" spans="5:5">
      <c r="E253" s="1"/>
    </row>
    <row r="254" spans="5:5">
      <c r="E254" s="1"/>
    </row>
    <row r="255" spans="5:5">
      <c r="E255" s="1"/>
    </row>
    <row r="256" spans="5:5">
      <c r="E256" s="1"/>
    </row>
    <row r="257" spans="5:5">
      <c r="E257" s="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Munka3"/>
  <dimension ref="A1:I249"/>
  <sheetViews>
    <sheetView workbookViewId="0">
      <selection activeCell="D12" sqref="D12"/>
    </sheetView>
  </sheetViews>
  <sheetFormatPr defaultRowHeight="15"/>
  <cols>
    <col min="2" max="2" width="11" bestFit="1" customWidth="1"/>
    <col min="4" max="4" width="11.7109375" bestFit="1" customWidth="1"/>
    <col min="5" max="5" width="20.7109375" bestFit="1" customWidth="1"/>
    <col min="6" max="6" width="25.42578125" customWidth="1"/>
    <col min="7" max="7" width="20.5703125" bestFit="1" customWidth="1"/>
  </cols>
  <sheetData>
    <row r="1" spans="1:9">
      <c r="A1" t="s">
        <v>7</v>
      </c>
      <c r="B1" t="s">
        <v>10</v>
      </c>
      <c r="C1" t="s">
        <v>8</v>
      </c>
      <c r="D1" t="s">
        <v>18</v>
      </c>
      <c r="E1" t="s">
        <v>9</v>
      </c>
      <c r="F1" t="s">
        <v>11</v>
      </c>
      <c r="G1" t="s">
        <v>12</v>
      </c>
      <c r="H1" t="s">
        <v>13</v>
      </c>
      <c r="I1" t="s">
        <v>3</v>
      </c>
    </row>
    <row r="2" spans="1:9">
      <c r="A2" s="2">
        <v>0</v>
      </c>
      <c r="B2">
        <f t="shared" ref="B2:B22" si="0">A2*100</f>
        <v>0</v>
      </c>
      <c r="C2">
        <f>DEGREES(ATAN(A2))</f>
        <v>0</v>
      </c>
      <c r="D2">
        <f>ROUND(C2,0)</f>
        <v>0</v>
      </c>
      <c r="E2">
        <f t="shared" ref="E2:E22" si="1">-0.30097 + 0.61955*Rx - 0.001659*Rx^2</f>
        <v>-0.30097000000000002</v>
      </c>
      <c r="F2">
        <f t="shared" ref="F2:F22" si="2">DIV(DIV(-150 + 310 * Rx - DIV(Rx*Rx,2) - DIV(Rx*Rx,3),50) + 5,10)</f>
        <v>0</v>
      </c>
      <c r="G2">
        <f t="shared" ref="G2:G22" si="3">F2-C2</f>
        <v>0</v>
      </c>
      <c r="H2">
        <f>A2*45</f>
        <v>0</v>
      </c>
      <c r="I2">
        <f t="shared" ref="I2:I22" si="4">H2-C2</f>
        <v>0</v>
      </c>
    </row>
    <row r="3" spans="1:9">
      <c r="A3" s="2">
        <f>A2+5%</f>
        <v>0.05</v>
      </c>
      <c r="B3">
        <f t="shared" si="0"/>
        <v>5</v>
      </c>
      <c r="C3">
        <f t="shared" ref="C3:C22" si="5">DEGREES(ATAN(A3))</f>
        <v>2.8624052261117479</v>
      </c>
      <c r="D3">
        <f t="shared" ref="D3:D22" si="6">ROUND(C3,0)</f>
        <v>3</v>
      </c>
      <c r="E3">
        <f t="shared" si="1"/>
        <v>2.7553050000000003</v>
      </c>
      <c r="F3">
        <f t="shared" si="2"/>
        <v>3</v>
      </c>
      <c r="G3">
        <f t="shared" si="3"/>
        <v>0.13759477388825214</v>
      </c>
      <c r="H3">
        <f t="shared" ref="H3:H22" si="7">A3*45</f>
        <v>2.25</v>
      </c>
      <c r="I3">
        <f t="shared" si="4"/>
        <v>-0.61240522611174786</v>
      </c>
    </row>
    <row r="4" spans="1:9">
      <c r="A4" s="2">
        <f t="shared" ref="A4:A20" si="8">A3+5%</f>
        <v>0.1</v>
      </c>
      <c r="B4">
        <f t="shared" si="0"/>
        <v>10</v>
      </c>
      <c r="C4">
        <f t="shared" si="5"/>
        <v>5.710593137499643</v>
      </c>
      <c r="D4">
        <f t="shared" si="6"/>
        <v>6</v>
      </c>
      <c r="E4">
        <f t="shared" si="1"/>
        <v>5.7286300000000008</v>
      </c>
      <c r="F4">
        <f t="shared" si="2"/>
        <v>6</v>
      </c>
      <c r="G4">
        <f t="shared" si="3"/>
        <v>0.28940686250035697</v>
      </c>
      <c r="H4">
        <f t="shared" si="7"/>
        <v>4.5</v>
      </c>
      <c r="I4">
        <f t="shared" si="4"/>
        <v>-1.210593137499643</v>
      </c>
    </row>
    <row r="5" spans="1:9">
      <c r="A5" s="2">
        <f t="shared" si="8"/>
        <v>0.15000000000000002</v>
      </c>
      <c r="B5">
        <f t="shared" si="0"/>
        <v>15.000000000000002</v>
      </c>
      <c r="C5">
        <f t="shared" si="5"/>
        <v>8.5307656099481353</v>
      </c>
      <c r="D5">
        <f t="shared" si="6"/>
        <v>9</v>
      </c>
      <c r="E5">
        <f t="shared" si="1"/>
        <v>8.6190050000000031</v>
      </c>
      <c r="F5">
        <f t="shared" si="2"/>
        <v>9</v>
      </c>
      <c r="G5">
        <f t="shared" si="3"/>
        <v>0.46923439005186474</v>
      </c>
      <c r="H5">
        <f t="shared" si="7"/>
        <v>6.7500000000000009</v>
      </c>
      <c r="I5">
        <f t="shared" si="4"/>
        <v>-1.7807656099481344</v>
      </c>
    </row>
    <row r="6" spans="1:9">
      <c r="A6" s="2">
        <f t="shared" si="8"/>
        <v>0.2</v>
      </c>
      <c r="B6">
        <f t="shared" si="0"/>
        <v>20</v>
      </c>
      <c r="C6">
        <f t="shared" si="5"/>
        <v>11.309932474020215</v>
      </c>
      <c r="D6">
        <f t="shared" si="6"/>
        <v>11</v>
      </c>
      <c r="E6">
        <f t="shared" si="1"/>
        <v>11.426430000000002</v>
      </c>
      <c r="F6">
        <f t="shared" si="2"/>
        <v>12</v>
      </c>
      <c r="G6">
        <f t="shared" si="3"/>
        <v>0.69006752597978505</v>
      </c>
      <c r="H6">
        <f t="shared" si="7"/>
        <v>9</v>
      </c>
      <c r="I6">
        <f t="shared" si="4"/>
        <v>-2.309932474020215</v>
      </c>
    </row>
    <row r="7" spans="1:9">
      <c r="A7" s="2">
        <f t="shared" si="8"/>
        <v>0.25</v>
      </c>
      <c r="B7">
        <f t="shared" si="0"/>
        <v>25</v>
      </c>
      <c r="C7">
        <f t="shared" si="5"/>
        <v>14.036243467926479</v>
      </c>
      <c r="D7">
        <f t="shared" si="6"/>
        <v>14</v>
      </c>
      <c r="E7">
        <f t="shared" si="1"/>
        <v>14.150905000000002</v>
      </c>
      <c r="F7">
        <f t="shared" si="2"/>
        <v>15</v>
      </c>
      <c r="G7">
        <f t="shared" si="3"/>
        <v>0.9637565320735213</v>
      </c>
      <c r="H7">
        <f t="shared" si="7"/>
        <v>11.25</v>
      </c>
      <c r="I7">
        <f t="shared" si="4"/>
        <v>-2.7862434679264787</v>
      </c>
    </row>
    <row r="8" spans="1:9">
      <c r="A8" s="2">
        <f t="shared" si="8"/>
        <v>0.3</v>
      </c>
      <c r="B8">
        <f t="shared" si="0"/>
        <v>30</v>
      </c>
      <c r="C8">
        <f t="shared" si="5"/>
        <v>16.699244233993621</v>
      </c>
      <c r="D8">
        <f t="shared" si="6"/>
        <v>17</v>
      </c>
      <c r="E8">
        <f t="shared" si="1"/>
        <v>16.792430000000003</v>
      </c>
      <c r="F8">
        <f t="shared" si="2"/>
        <v>17</v>
      </c>
      <c r="G8">
        <f t="shared" si="3"/>
        <v>0.30075576600637888</v>
      </c>
      <c r="H8">
        <f t="shared" si="7"/>
        <v>13.5</v>
      </c>
      <c r="I8">
        <f t="shared" si="4"/>
        <v>-3.1992442339936211</v>
      </c>
    </row>
    <row r="9" spans="1:9">
      <c r="A9" s="2">
        <f t="shared" si="8"/>
        <v>0.35</v>
      </c>
      <c r="B9">
        <f t="shared" si="0"/>
        <v>35</v>
      </c>
      <c r="C9">
        <f t="shared" si="5"/>
        <v>19.290046219188735</v>
      </c>
      <c r="D9">
        <f t="shared" si="6"/>
        <v>19</v>
      </c>
      <c r="E9">
        <f t="shared" si="1"/>
        <v>19.351005000000001</v>
      </c>
      <c r="F9">
        <f t="shared" si="2"/>
        <v>20</v>
      </c>
      <c r="G9">
        <f t="shared" si="3"/>
        <v>0.70995378081126503</v>
      </c>
      <c r="H9">
        <f t="shared" si="7"/>
        <v>15.749999999999998</v>
      </c>
      <c r="I9">
        <f t="shared" si="4"/>
        <v>-3.5400462191887367</v>
      </c>
    </row>
    <row r="10" spans="1:9">
      <c r="A10" s="2">
        <f t="shared" si="8"/>
        <v>0.39999999999999997</v>
      </c>
      <c r="B10">
        <f t="shared" si="0"/>
        <v>40</v>
      </c>
      <c r="C10">
        <f t="shared" si="5"/>
        <v>21.801409486351812</v>
      </c>
      <c r="D10">
        <f t="shared" si="6"/>
        <v>22</v>
      </c>
      <c r="E10">
        <f t="shared" si="1"/>
        <v>21.826630000000005</v>
      </c>
      <c r="F10">
        <f t="shared" si="2"/>
        <v>22</v>
      </c>
      <c r="G10">
        <f t="shared" si="3"/>
        <v>0.19859051364818825</v>
      </c>
      <c r="H10">
        <f t="shared" si="7"/>
        <v>18</v>
      </c>
      <c r="I10">
        <f t="shared" si="4"/>
        <v>-3.8014094863518118</v>
      </c>
    </row>
    <row r="11" spans="1:9">
      <c r="A11" s="2">
        <f t="shared" si="8"/>
        <v>0.44999999999999996</v>
      </c>
      <c r="B11">
        <f t="shared" si="0"/>
        <v>44.999999999999993</v>
      </c>
      <c r="C11">
        <f t="shared" si="5"/>
        <v>24.227745317954167</v>
      </c>
      <c r="D11">
        <f t="shared" si="6"/>
        <v>24</v>
      </c>
      <c r="E11">
        <f t="shared" si="1"/>
        <v>24.219304999999999</v>
      </c>
      <c r="F11">
        <f t="shared" si="2"/>
        <v>25</v>
      </c>
      <c r="G11">
        <f t="shared" si="3"/>
        <v>0.77225468204583336</v>
      </c>
      <c r="H11">
        <f t="shared" si="7"/>
        <v>20.249999999999996</v>
      </c>
      <c r="I11">
        <f t="shared" si="4"/>
        <v>-3.9777453179541702</v>
      </c>
    </row>
    <row r="12" spans="1:9">
      <c r="A12" s="2">
        <f t="shared" si="8"/>
        <v>0.49999999999999994</v>
      </c>
      <c r="B12">
        <f t="shared" si="0"/>
        <v>49.999999999999993</v>
      </c>
      <c r="C12">
        <f t="shared" si="5"/>
        <v>26.56505117707799</v>
      </c>
      <c r="D12">
        <f t="shared" si="6"/>
        <v>27</v>
      </c>
      <c r="E12">
        <f t="shared" si="1"/>
        <v>26.529029999999999</v>
      </c>
      <c r="F12">
        <f t="shared" si="2"/>
        <v>27</v>
      </c>
      <c r="G12">
        <f t="shared" si="3"/>
        <v>0.43494882292200998</v>
      </c>
      <c r="H12">
        <f t="shared" si="7"/>
        <v>22.499999999999996</v>
      </c>
      <c r="I12">
        <f t="shared" si="4"/>
        <v>-4.0650511770779936</v>
      </c>
    </row>
    <row r="13" spans="1:9">
      <c r="A13" s="2">
        <f t="shared" si="8"/>
        <v>0.54999999999999993</v>
      </c>
      <c r="B13">
        <f t="shared" si="0"/>
        <v>54.999999999999993</v>
      </c>
      <c r="C13">
        <f t="shared" si="5"/>
        <v>28.810793742973058</v>
      </c>
      <c r="D13">
        <f t="shared" si="6"/>
        <v>29</v>
      </c>
      <c r="E13">
        <f t="shared" si="1"/>
        <v>28.755804999999999</v>
      </c>
      <c r="F13">
        <f t="shared" si="2"/>
        <v>29</v>
      </c>
      <c r="G13">
        <f t="shared" si="3"/>
        <v>0.18920625702694238</v>
      </c>
      <c r="H13">
        <f t="shared" si="7"/>
        <v>24.749999999999996</v>
      </c>
      <c r="I13">
        <f t="shared" si="4"/>
        <v>-4.0607937429730612</v>
      </c>
    </row>
    <row r="14" spans="1:9">
      <c r="A14" s="2">
        <f t="shared" si="8"/>
        <v>0.6</v>
      </c>
      <c r="B14">
        <f t="shared" si="0"/>
        <v>60</v>
      </c>
      <c r="C14">
        <f t="shared" si="5"/>
        <v>30.963756532073521</v>
      </c>
      <c r="D14">
        <f t="shared" si="6"/>
        <v>31</v>
      </c>
      <c r="E14">
        <f t="shared" si="1"/>
        <v>30.899630000000002</v>
      </c>
      <c r="F14">
        <f t="shared" si="2"/>
        <v>31</v>
      </c>
      <c r="G14">
        <f t="shared" si="3"/>
        <v>3.6243467926478701E-2</v>
      </c>
      <c r="H14">
        <f t="shared" si="7"/>
        <v>27</v>
      </c>
      <c r="I14">
        <f t="shared" si="4"/>
        <v>-3.9637565320735213</v>
      </c>
    </row>
    <row r="15" spans="1:9">
      <c r="A15" s="2">
        <f t="shared" si="8"/>
        <v>0.65</v>
      </c>
      <c r="B15">
        <f t="shared" si="0"/>
        <v>65</v>
      </c>
      <c r="C15">
        <f t="shared" si="5"/>
        <v>33.023867555796649</v>
      </c>
      <c r="D15">
        <f t="shared" si="6"/>
        <v>33</v>
      </c>
      <c r="E15">
        <f t="shared" si="1"/>
        <v>32.960504999999998</v>
      </c>
      <c r="F15">
        <f t="shared" si="2"/>
        <v>34</v>
      </c>
      <c r="G15">
        <f t="shared" si="3"/>
        <v>0.97613244420335121</v>
      </c>
      <c r="H15">
        <f t="shared" si="7"/>
        <v>29.25</v>
      </c>
      <c r="I15">
        <f t="shared" si="4"/>
        <v>-3.7738675557966488</v>
      </c>
    </row>
    <row r="16" spans="1:9">
      <c r="A16" s="2">
        <f t="shared" si="8"/>
        <v>0.70000000000000007</v>
      </c>
      <c r="B16">
        <f t="shared" si="0"/>
        <v>70</v>
      </c>
      <c r="C16">
        <f t="shared" si="5"/>
        <v>34.99202019855867</v>
      </c>
      <c r="D16">
        <f t="shared" si="6"/>
        <v>35</v>
      </c>
      <c r="E16">
        <f t="shared" si="1"/>
        <v>34.938430000000004</v>
      </c>
      <c r="F16">
        <f t="shared" si="2"/>
        <v>35</v>
      </c>
      <c r="G16">
        <f t="shared" si="3"/>
        <v>7.9798014413299256E-3</v>
      </c>
      <c r="H16">
        <f t="shared" si="7"/>
        <v>31.500000000000004</v>
      </c>
      <c r="I16">
        <f t="shared" si="4"/>
        <v>-3.4920201985586665</v>
      </c>
    </row>
    <row r="17" spans="1:9">
      <c r="A17" s="2">
        <f t="shared" si="8"/>
        <v>0.75000000000000011</v>
      </c>
      <c r="B17">
        <f t="shared" si="0"/>
        <v>75.000000000000014</v>
      </c>
      <c r="C17">
        <f t="shared" si="5"/>
        <v>36.869897645844027</v>
      </c>
      <c r="D17">
        <f t="shared" si="6"/>
        <v>37</v>
      </c>
      <c r="E17">
        <f t="shared" si="1"/>
        <v>36.833405000000006</v>
      </c>
      <c r="F17">
        <f t="shared" si="2"/>
        <v>37</v>
      </c>
      <c r="G17">
        <f t="shared" si="3"/>
        <v>0.13010235415597293</v>
      </c>
      <c r="H17">
        <f t="shared" si="7"/>
        <v>33.750000000000007</v>
      </c>
      <c r="I17">
        <f t="shared" si="4"/>
        <v>-3.11989764584402</v>
      </c>
    </row>
    <row r="18" spans="1:9">
      <c r="A18" s="2">
        <f t="shared" si="8"/>
        <v>0.80000000000000016</v>
      </c>
      <c r="B18">
        <f t="shared" si="0"/>
        <v>80.000000000000014</v>
      </c>
      <c r="C18">
        <f t="shared" si="5"/>
        <v>38.659808254090095</v>
      </c>
      <c r="D18">
        <f t="shared" si="6"/>
        <v>39</v>
      </c>
      <c r="E18">
        <f t="shared" si="1"/>
        <v>38.645430000000012</v>
      </c>
      <c r="F18">
        <f t="shared" si="2"/>
        <v>39</v>
      </c>
      <c r="G18">
        <f t="shared" si="3"/>
        <v>0.34019174590990531</v>
      </c>
      <c r="H18">
        <f t="shared" si="7"/>
        <v>36.000000000000007</v>
      </c>
      <c r="I18">
        <f t="shared" si="4"/>
        <v>-2.6598082540900876</v>
      </c>
    </row>
    <row r="19" spans="1:9">
      <c r="A19" s="2">
        <f t="shared" si="8"/>
        <v>0.8500000000000002</v>
      </c>
      <c r="B19">
        <f t="shared" si="0"/>
        <v>85.000000000000014</v>
      </c>
      <c r="C19">
        <f t="shared" si="5"/>
        <v>40.364536573097368</v>
      </c>
      <c r="D19">
        <f t="shared" si="6"/>
        <v>40</v>
      </c>
      <c r="E19">
        <f t="shared" si="1"/>
        <v>40.374505000000006</v>
      </c>
      <c r="F19">
        <f t="shared" si="2"/>
        <v>41</v>
      </c>
      <c r="G19">
        <f t="shared" si="3"/>
        <v>0.63546342690263202</v>
      </c>
      <c r="H19">
        <f t="shared" si="7"/>
        <v>38.250000000000007</v>
      </c>
      <c r="I19">
        <f t="shared" si="4"/>
        <v>-2.1145365730973609</v>
      </c>
    </row>
    <row r="20" spans="1:9">
      <c r="A20" s="2">
        <f t="shared" si="8"/>
        <v>0.90000000000000024</v>
      </c>
      <c r="B20">
        <f t="shared" si="0"/>
        <v>90.000000000000028</v>
      </c>
      <c r="C20">
        <f t="shared" si="5"/>
        <v>41.987212495816671</v>
      </c>
      <c r="D20">
        <f t="shared" si="6"/>
        <v>42</v>
      </c>
      <c r="E20">
        <f t="shared" si="1"/>
        <v>42.020630000000011</v>
      </c>
      <c r="F20">
        <f t="shared" si="2"/>
        <v>42</v>
      </c>
      <c r="G20">
        <f t="shared" si="3"/>
        <v>1.278750418332919E-2</v>
      </c>
      <c r="H20">
        <f t="shared" si="7"/>
        <v>40.500000000000014</v>
      </c>
      <c r="I20">
        <f t="shared" si="4"/>
        <v>-1.4872124958166566</v>
      </c>
    </row>
    <row r="21" spans="1:9">
      <c r="A21" s="2">
        <f>A20+5%</f>
        <v>0.95000000000000029</v>
      </c>
      <c r="B21">
        <f t="shared" si="0"/>
        <v>95.000000000000028</v>
      </c>
      <c r="C21">
        <f t="shared" si="5"/>
        <v>43.531199285614186</v>
      </c>
      <c r="D21">
        <f t="shared" si="6"/>
        <v>44</v>
      </c>
      <c r="E21">
        <f t="shared" si="1"/>
        <v>43.583805000000012</v>
      </c>
      <c r="F21">
        <f t="shared" si="2"/>
        <v>44</v>
      </c>
      <c r="G21">
        <f t="shared" si="3"/>
        <v>0.46880071438581439</v>
      </c>
      <c r="H21">
        <f t="shared" si="7"/>
        <v>42.750000000000014</v>
      </c>
      <c r="I21">
        <f t="shared" si="4"/>
        <v>-0.7811992856141714</v>
      </c>
    </row>
    <row r="22" spans="1:9">
      <c r="A22" s="2">
        <f>A21+5%</f>
        <v>1.0000000000000002</v>
      </c>
      <c r="B22">
        <f t="shared" si="0"/>
        <v>100.00000000000003</v>
      </c>
      <c r="C22">
        <f t="shared" si="5"/>
        <v>45.000000000000007</v>
      </c>
      <c r="D22">
        <f t="shared" si="6"/>
        <v>45</v>
      </c>
      <c r="E22">
        <f t="shared" si="1"/>
        <v>45.06403000000001</v>
      </c>
      <c r="F22">
        <f t="shared" si="2"/>
        <v>46</v>
      </c>
      <c r="G22">
        <f t="shared" si="3"/>
        <v>0.99999999999999289</v>
      </c>
      <c r="H22">
        <f t="shared" si="7"/>
        <v>45.000000000000007</v>
      </c>
      <c r="I22">
        <f t="shared" si="4"/>
        <v>0</v>
      </c>
    </row>
    <row r="23" spans="1:9">
      <c r="A23" s="1"/>
    </row>
    <row r="24" spans="1:9">
      <c r="A24" s="1"/>
    </row>
    <row r="25" spans="1:9">
      <c r="A25" s="1"/>
    </row>
    <row r="26" spans="1:9">
      <c r="A26" s="1"/>
    </row>
    <row r="27" spans="1:9">
      <c r="A27" s="1"/>
    </row>
    <row r="28" spans="1:9">
      <c r="A28" s="1"/>
    </row>
    <row r="29" spans="1:9">
      <c r="A29" s="1"/>
    </row>
    <row r="30" spans="1:9">
      <c r="A30" s="1"/>
    </row>
    <row r="31" spans="1:9">
      <c r="A31" s="1"/>
    </row>
    <row r="32" spans="1:9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0" spans="1:1">
      <c r="A40" s="1"/>
    </row>
    <row r="41" spans="1:1">
      <c r="A41" s="1"/>
    </row>
    <row r="42" spans="1:1">
      <c r="A42" s="1"/>
    </row>
    <row r="43" spans="1:1">
      <c r="A43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I15"/>
  <sheetViews>
    <sheetView workbookViewId="0">
      <selection activeCell="B13" sqref="B13"/>
    </sheetView>
  </sheetViews>
  <sheetFormatPr defaultRowHeight="15"/>
  <cols>
    <col min="1" max="1" width="32.5703125" customWidth="1"/>
    <col min="2" max="2" width="13.28515625" bestFit="1" customWidth="1"/>
    <col min="3" max="3" width="13.85546875" customWidth="1"/>
  </cols>
  <sheetData>
    <row r="1" spans="1:9">
      <c r="A1" t="s">
        <v>14</v>
      </c>
      <c r="B1" t="s">
        <v>1</v>
      </c>
      <c r="C1" t="s">
        <v>15</v>
      </c>
      <c r="E1" t="s">
        <v>19</v>
      </c>
      <c r="F1">
        <v>25</v>
      </c>
      <c r="H1">
        <f>F1/64*90</f>
        <v>35.15625</v>
      </c>
      <c r="I1" t="s">
        <v>21</v>
      </c>
    </row>
    <row r="2" spans="1:9">
      <c r="A2">
        <f ca="1">TRUNC(NORMINV(RAND(),$F$1,$F$2))</f>
        <v>20</v>
      </c>
      <c r="B2">
        <f ca="1">VLOOKUP(A2,'8 bites'!$A$2:$D$65,4,FALSE)</f>
        <v>120</v>
      </c>
      <c r="C2">
        <f ca="1">VLOOKUP(64-A2,'8 bites'!$A$2:$D$65,4,FALSE)</f>
        <v>225</v>
      </c>
      <c r="E2" t="s">
        <v>20</v>
      </c>
      <c r="F2">
        <v>5</v>
      </c>
    </row>
    <row r="3" spans="1:9">
      <c r="A3">
        <f t="shared" ref="A3:A11" ca="1" si="0">TRUNC(NORMINV(RAND(),$F$1,$F$2))</f>
        <v>26</v>
      </c>
      <c r="B3">
        <f ca="1">VLOOKUP(A3,'8 bites'!$A$2:$D$65,4,FALSE)</f>
        <v>152</v>
      </c>
      <c r="C3">
        <f ca="1">VLOOKUP(64-A3,'8 bites'!$A$2:$D$65,4,FALSE)</f>
        <v>205</v>
      </c>
    </row>
    <row r="4" spans="1:9">
      <c r="A4">
        <f t="shared" ca="1" si="0"/>
        <v>25</v>
      </c>
      <c r="B4">
        <f ca="1">VLOOKUP(A4,'8 bites'!$A$2:$D$65,4,FALSE)</f>
        <v>147</v>
      </c>
      <c r="C4">
        <f ca="1">VLOOKUP(64-A4,'8 bites'!$A$2:$D$65,4,FALSE)</f>
        <v>208</v>
      </c>
    </row>
    <row r="5" spans="1:9">
      <c r="A5">
        <f t="shared" ca="1" si="0"/>
        <v>21</v>
      </c>
      <c r="B5">
        <f ca="1">VLOOKUP(A5,'8 bites'!$A$2:$D$65,4,FALSE)</f>
        <v>126</v>
      </c>
      <c r="C5">
        <f ca="1">VLOOKUP(64-A5,'8 bites'!$A$2:$D$65,4,FALSE)</f>
        <v>222</v>
      </c>
    </row>
    <row r="6" spans="1:9">
      <c r="A6">
        <f t="shared" ca="1" si="0"/>
        <v>20</v>
      </c>
      <c r="B6">
        <f ca="1">VLOOKUP(A6,'8 bites'!$A$2:$D$65,4,FALSE)</f>
        <v>120</v>
      </c>
      <c r="C6">
        <f ca="1">VLOOKUP(64-A6,'8 bites'!$A$2:$D$65,4,FALSE)</f>
        <v>225</v>
      </c>
    </row>
    <row r="7" spans="1:9">
      <c r="A7">
        <f t="shared" ca="1" si="0"/>
        <v>27</v>
      </c>
      <c r="B7">
        <f ca="1">VLOOKUP(A7,'8 bites'!$A$2:$D$65,4,FALSE)</f>
        <v>157</v>
      </c>
      <c r="C7">
        <f ca="1">VLOOKUP(64-A7,'8 bites'!$A$2:$D$65,4,FALSE)</f>
        <v>201</v>
      </c>
    </row>
    <row r="8" spans="1:9">
      <c r="A8">
        <f t="shared" ca="1" si="0"/>
        <v>25</v>
      </c>
      <c r="B8">
        <f ca="1">VLOOKUP(A8,'8 bites'!$A$2:$D$65,4,FALSE)</f>
        <v>147</v>
      </c>
      <c r="C8">
        <f ca="1">VLOOKUP(64-A8,'8 bites'!$A$2:$D$65,4,FALSE)</f>
        <v>208</v>
      </c>
    </row>
    <row r="9" spans="1:9">
      <c r="A9">
        <f t="shared" ca="1" si="0"/>
        <v>17</v>
      </c>
      <c r="B9">
        <f ca="1">VLOOKUP(A9,'8 bites'!$A$2:$D$65,4,FALSE)</f>
        <v>103</v>
      </c>
      <c r="C9">
        <f ca="1">VLOOKUP(64-A9,'8 bites'!$A$2:$D$65,4,FALSE)</f>
        <v>233</v>
      </c>
    </row>
    <row r="10" spans="1:9">
      <c r="A10">
        <f t="shared" ca="1" si="0"/>
        <v>29</v>
      </c>
      <c r="B10">
        <f ca="1">VLOOKUP(A10,'8 bites'!$A$2:$D$65,4,FALSE)</f>
        <v>167</v>
      </c>
      <c r="C10">
        <f ca="1">VLOOKUP(64-A10,'8 bites'!$A$2:$D$65,4,FALSE)</f>
        <v>193</v>
      </c>
    </row>
    <row r="11" spans="1:9">
      <c r="A11">
        <f t="shared" ca="1" si="0"/>
        <v>33</v>
      </c>
      <c r="B11">
        <f ca="1">VLOOKUP(A11,'8 bites'!$A$2:$D$65,4,FALSE)</f>
        <v>185</v>
      </c>
      <c r="C11">
        <f ca="1">VLOOKUP(64-A11,'8 bites'!$A$2:$D$65,4,FALSE)</f>
        <v>176</v>
      </c>
    </row>
    <row r="13" spans="1:9">
      <c r="A13" t="s">
        <v>16</v>
      </c>
      <c r="B13" t="e">
        <f ca="1">DIV(SUM(B2:B11),10)</f>
        <v>#NAME?</v>
      </c>
      <c r="C13" t="e">
        <f ca="1">DIV(SUM(C2:C11),10)</f>
        <v>#NAME?</v>
      </c>
    </row>
    <row r="14" spans="1:9">
      <c r="A14" t="s">
        <v>7</v>
      </c>
      <c r="B14" t="e">
        <f ca="1">TRUNC(B13*100/C13)/100</f>
        <v>#NAME?</v>
      </c>
    </row>
    <row r="15" spans="1:9">
      <c r="A15" t="s">
        <v>17</v>
      </c>
      <c r="B15" t="e">
        <f ca="1">VLOOKUP(B14,atan45!$A$2:$D$22,4,TRUE)</f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23"/>
  <sheetViews>
    <sheetView tabSelected="1" workbookViewId="0">
      <selection activeCell="H17" sqref="H17"/>
    </sheetView>
  </sheetViews>
  <sheetFormatPr defaultRowHeight="15"/>
  <cols>
    <col min="2" max="2" width="25.140625" customWidth="1"/>
    <col min="3" max="3" width="30" customWidth="1"/>
  </cols>
  <sheetData>
    <row r="1" spans="1:9">
      <c r="A1" t="s">
        <v>24</v>
      </c>
      <c r="B1" t="s">
        <v>22</v>
      </c>
      <c r="C1" t="s">
        <v>23</v>
      </c>
      <c r="D1">
        <v>0</v>
      </c>
      <c r="E1">
        <v>15</v>
      </c>
      <c r="G1" t="s">
        <v>32</v>
      </c>
      <c r="H1" t="s">
        <v>33</v>
      </c>
      <c r="I1" t="s">
        <v>34</v>
      </c>
    </row>
    <row r="2" spans="1:9">
      <c r="A2">
        <f ca="1">NORMINV(RAND(),$D$1,$E$1)</f>
        <v>4.7655040541348423</v>
      </c>
      <c r="B2">
        <f ca="1">SIN(RADIANS(A2))</f>
        <v>8.3077871905250275E-2</v>
      </c>
      <c r="C2">
        <f ca="1">COS(RADIANS(A2))</f>
        <v>0.99654305837715551</v>
      </c>
      <c r="G2">
        <f ca="1">H2</f>
        <v>4.7655040541348423</v>
      </c>
      <c r="H2">
        <f ca="1">A2</f>
        <v>4.7655040541348423</v>
      </c>
    </row>
    <row r="3" spans="1:9">
      <c r="A3">
        <f t="shared" ref="A3:A21" ca="1" si="0">NORMINV(RAND(),$D$1,$E$1)</f>
        <v>20.478436517523438</v>
      </c>
      <c r="B3">
        <f t="shared" ref="B3:B21" ca="1" si="1">SIN(RADIANS(A3))</f>
        <v>0.34985483635847126</v>
      </c>
      <c r="C3">
        <f t="shared" ref="C3:C21" ca="1" si="2">COS(RADIANS(A3))</f>
        <v>0.93680392477646424</v>
      </c>
      <c r="G3">
        <f ca="1">SUM($H$2:H3)/COUNT($H$2:H3)</f>
        <v>12.621970285829139</v>
      </c>
      <c r="H3">
        <f ca="1">H2+I3</f>
        <v>20.478436517523438</v>
      </c>
      <c r="I3">
        <f ca="1">A3-H2</f>
        <v>15.712932463388595</v>
      </c>
    </row>
    <row r="4" spans="1:9">
      <c r="A4">
        <f t="shared" ca="1" si="0"/>
        <v>11.47968846864433</v>
      </c>
      <c r="B4">
        <f t="shared" ca="1" si="1"/>
        <v>0.19902053555307767</v>
      </c>
      <c r="C4">
        <f t="shared" ca="1" si="2"/>
        <v>0.97999531959503061</v>
      </c>
      <c r="G4">
        <f ca="1">SUM($H$2:H4)/COUNT($H$2:H4)</f>
        <v>12.241209680100871</v>
      </c>
      <c r="H4">
        <f t="shared" ref="H4:H21" ca="1" si="3">H3+I4</f>
        <v>11.47968846864433</v>
      </c>
      <c r="I4">
        <f t="shared" ref="I4:I21" ca="1" si="4">A4-H3</f>
        <v>-8.9987480488791078</v>
      </c>
    </row>
    <row r="5" spans="1:9">
      <c r="A5">
        <f t="shared" ca="1" si="0"/>
        <v>-26.899226174460431</v>
      </c>
      <c r="B5">
        <f t="shared" ca="1" si="1"/>
        <v>-0.4524226648283215</v>
      </c>
      <c r="C5">
        <f t="shared" ca="1" si="2"/>
        <v>0.89180364001816015</v>
      </c>
      <c r="G5">
        <f ca="1">SUM($H$2:H5)/COUNT($H$2:H5)</f>
        <v>2.4561007164605444</v>
      </c>
      <c r="H5">
        <f t="shared" ca="1" si="3"/>
        <v>-26.899226174460434</v>
      </c>
      <c r="I5">
        <f t="shared" ca="1" si="4"/>
        <v>-38.378914643104764</v>
      </c>
    </row>
    <row r="6" spans="1:9">
      <c r="A6">
        <f t="shared" ca="1" si="0"/>
        <v>-12.692644826336425</v>
      </c>
      <c r="B6">
        <f t="shared" ca="1" si="1"/>
        <v>-0.21972097122369574</v>
      </c>
      <c r="C6">
        <f t="shared" ca="1" si="2"/>
        <v>0.97556275800407422</v>
      </c>
      <c r="G6">
        <f ca="1">SUM($H$2:H6)/COUNT($H$2:H6)</f>
        <v>-0.57364839209884944</v>
      </c>
      <c r="H6">
        <f t="shared" ca="1" si="3"/>
        <v>-12.692644826336425</v>
      </c>
      <c r="I6">
        <f t="shared" ca="1" si="4"/>
        <v>14.20658134812401</v>
      </c>
    </row>
    <row r="7" spans="1:9">
      <c r="A7">
        <f t="shared" ca="1" si="0"/>
        <v>13.476959864020655</v>
      </c>
      <c r="B7">
        <f t="shared" ca="1" si="1"/>
        <v>0.23305432953862312</v>
      </c>
      <c r="C7">
        <f t="shared" ca="1" si="2"/>
        <v>0.97246371628112838</v>
      </c>
      <c r="G7">
        <f ca="1">SUM($H$2:H7)/COUNT($H$2:H7)</f>
        <v>1.7681196505877346</v>
      </c>
      <c r="H7">
        <f t="shared" ca="1" si="3"/>
        <v>13.476959864020655</v>
      </c>
      <c r="I7">
        <f t="shared" ca="1" si="4"/>
        <v>26.16960469035708</v>
      </c>
    </row>
    <row r="8" spans="1:9">
      <c r="A8">
        <f t="shared" ca="1" si="0"/>
        <v>-43.784545872337027</v>
      </c>
      <c r="B8">
        <f t="shared" ca="1" si="1"/>
        <v>-0.69194847162145623</v>
      </c>
      <c r="C8">
        <f t="shared" ca="1" si="2"/>
        <v>0.72194689044328653</v>
      </c>
      <c r="G8">
        <f ca="1">SUM($H$2:H8)/COUNT($H$2:H8)</f>
        <v>-4.7394039955443743</v>
      </c>
      <c r="H8">
        <f t="shared" ca="1" si="3"/>
        <v>-43.784545872337027</v>
      </c>
      <c r="I8">
        <f t="shared" ca="1" si="4"/>
        <v>-57.261505736357684</v>
      </c>
    </row>
    <row r="9" spans="1:9">
      <c r="A9">
        <f t="shared" ca="1" si="0"/>
        <v>33.074545588709512</v>
      </c>
      <c r="B9">
        <f t="shared" ca="1" si="1"/>
        <v>0.54572973946469971</v>
      </c>
      <c r="C9">
        <f t="shared" ca="1" si="2"/>
        <v>0.83796124699403074</v>
      </c>
      <c r="G9">
        <f ca="1">SUM($H$2:H9)/COUNT($H$2:H9)</f>
        <v>-1.2660297512637975E-2</v>
      </c>
      <c r="H9">
        <f t="shared" ca="1" si="3"/>
        <v>33.074545588709519</v>
      </c>
      <c r="I9">
        <f t="shared" ca="1" si="4"/>
        <v>76.859091461046546</v>
      </c>
    </row>
    <row r="10" spans="1:9">
      <c r="A10">
        <f t="shared" ca="1" si="0"/>
        <v>-21.732986828466935</v>
      </c>
      <c r="B10">
        <f t="shared" ca="1" si="1"/>
        <v>-0.37028162431484163</v>
      </c>
      <c r="C10">
        <f t="shared" ca="1" si="2"/>
        <v>0.92891954371450414</v>
      </c>
      <c r="G10">
        <f ca="1">SUM($H$2:H10)/COUNT($H$2:H10)</f>
        <v>-2.4260299120631155</v>
      </c>
      <c r="H10">
        <f t="shared" ca="1" si="3"/>
        <v>-21.732986828466935</v>
      </c>
      <c r="I10">
        <f t="shared" ca="1" si="4"/>
        <v>-54.807532417176454</v>
      </c>
    </row>
    <row r="11" spans="1:9">
      <c r="A11">
        <f t="shared" ca="1" si="0"/>
        <v>-9.0031267360880847</v>
      </c>
      <c r="B11">
        <f t="shared" ca="1" si="1"/>
        <v>-0.15648836477694253</v>
      </c>
      <c r="C11">
        <f t="shared" ca="1" si="2"/>
        <v>0.98767980220790108</v>
      </c>
      <c r="G11">
        <f ca="1">SUM($H$2:H11)/COUNT($H$2:H11)</f>
        <v>-3.0837395944656123</v>
      </c>
      <c r="H11">
        <f t="shared" ca="1" si="3"/>
        <v>-9.0031267360880847</v>
      </c>
      <c r="I11">
        <f t="shared" ca="1" si="4"/>
        <v>12.72986009237885</v>
      </c>
    </row>
    <row r="12" spans="1:9">
      <c r="A12">
        <f t="shared" ca="1" si="0"/>
        <v>-11.718926935305481</v>
      </c>
      <c r="B12">
        <f t="shared" ca="1" si="1"/>
        <v>-0.20311075814322926</v>
      </c>
      <c r="C12">
        <f t="shared" ca="1" si="2"/>
        <v>0.97915576897983025</v>
      </c>
      <c r="G12">
        <f ca="1">SUM($H$2:H12)/COUNT($H$2:H12)</f>
        <v>-3.8687566254510553</v>
      </c>
      <c r="H12">
        <f t="shared" ca="1" si="3"/>
        <v>-11.718926935305481</v>
      </c>
      <c r="I12">
        <f t="shared" ca="1" si="4"/>
        <v>-2.7158001992173961</v>
      </c>
    </row>
    <row r="13" spans="1:9">
      <c r="A13">
        <f t="shared" ca="1" si="0"/>
        <v>-30.711004070111628</v>
      </c>
      <c r="B13">
        <f t="shared" ca="1" si="1"/>
        <v>-0.51070804936126746</v>
      </c>
      <c r="C13">
        <f t="shared" ca="1" si="2"/>
        <v>0.8597542022680722</v>
      </c>
      <c r="G13">
        <f ca="1">SUM($H$2:H13)/COUNT($H$2:H13)</f>
        <v>-6.1056105791727688</v>
      </c>
      <c r="H13">
        <f t="shared" ca="1" si="3"/>
        <v>-30.711004070111628</v>
      </c>
      <c r="I13">
        <f t="shared" ca="1" si="4"/>
        <v>-18.992077134806145</v>
      </c>
    </row>
    <row r="14" spans="1:9">
      <c r="A14">
        <f t="shared" ca="1" si="0"/>
        <v>1.1138085202240393</v>
      </c>
      <c r="B14">
        <f t="shared" ca="1" si="1"/>
        <v>1.9438401568430137E-2</v>
      </c>
      <c r="C14">
        <f t="shared" ca="1" si="2"/>
        <v>0.99981105642239443</v>
      </c>
      <c r="G14">
        <f ca="1">SUM($H$2:H14)/COUNT($H$2:H14)</f>
        <v>-5.5502706484499376</v>
      </c>
      <c r="H14">
        <f t="shared" ca="1" si="3"/>
        <v>1.1138085202240404</v>
      </c>
      <c r="I14">
        <f t="shared" ca="1" si="4"/>
        <v>31.824812590335668</v>
      </c>
    </row>
    <row r="15" spans="1:9">
      <c r="A15">
        <f t="shared" ca="1" si="0"/>
        <v>5.9606359215134423</v>
      </c>
      <c r="B15">
        <f t="shared" ca="1" si="1"/>
        <v>0.10384516951278738</v>
      </c>
      <c r="C15">
        <f t="shared" ca="1" si="2"/>
        <v>0.994593475128839</v>
      </c>
      <c r="G15">
        <f ca="1">SUM($H$2:H15)/COUNT($H$2:H15)</f>
        <v>-4.7280630363096963</v>
      </c>
      <c r="H15">
        <f t="shared" ca="1" si="3"/>
        <v>5.9606359215134423</v>
      </c>
      <c r="I15">
        <f t="shared" ca="1" si="4"/>
        <v>4.8468274012894019</v>
      </c>
    </row>
    <row r="16" spans="1:9">
      <c r="A16">
        <f t="shared" ca="1" si="0"/>
        <v>33.679859738858823</v>
      </c>
      <c r="B16">
        <f t="shared" ca="1" si="1"/>
        <v>0.55455194976277389</v>
      </c>
      <c r="C16">
        <f t="shared" ca="1" si="2"/>
        <v>0.83214910623896354</v>
      </c>
      <c r="G16">
        <f ca="1">SUM($H$2:H16)/COUNT($H$2:H16)</f>
        <v>-2.1675348512984614</v>
      </c>
      <c r="H16">
        <f t="shared" ca="1" si="3"/>
        <v>33.679859738858823</v>
      </c>
      <c r="I16">
        <f t="shared" ca="1" si="4"/>
        <v>27.71922381734538</v>
      </c>
    </row>
    <row r="17" spans="1:9">
      <c r="A17">
        <f t="shared" ca="1" si="0"/>
        <v>3.9257953854197831</v>
      </c>
      <c r="B17">
        <f t="shared" ca="1" si="1"/>
        <v>6.8464455593326631E-2</v>
      </c>
      <c r="C17">
        <f t="shared" ca="1" si="2"/>
        <v>0.99765355626104468</v>
      </c>
      <c r="G17">
        <f ca="1">SUM($H$2:H17)/COUNT($H$2:H17)</f>
        <v>-1.786701711503571</v>
      </c>
      <c r="H17">
        <f t="shared" ca="1" si="3"/>
        <v>3.9257953854197822</v>
      </c>
      <c r="I17">
        <f t="shared" ca="1" si="4"/>
        <v>-29.754064353439041</v>
      </c>
    </row>
    <row r="18" spans="1:9">
      <c r="A18">
        <f t="shared" ca="1" si="0"/>
        <v>6.1558803159120963</v>
      </c>
      <c r="B18">
        <f t="shared" ca="1" si="1"/>
        <v>0.1072337939653482</v>
      </c>
      <c r="C18">
        <f t="shared" ca="1" si="2"/>
        <v>0.99423383237133767</v>
      </c>
      <c r="G18">
        <f ca="1">SUM($H$2:H18)/COUNT($H$2:H18)</f>
        <v>-1.3194910040085317</v>
      </c>
      <c r="H18">
        <f t="shared" ca="1" si="3"/>
        <v>6.1558803159120963</v>
      </c>
      <c r="I18">
        <f t="shared" ca="1" si="4"/>
        <v>2.230084930492314</v>
      </c>
    </row>
    <row r="19" spans="1:9">
      <c r="A19">
        <f t="shared" ca="1" si="0"/>
        <v>16.155526203631254</v>
      </c>
      <c r="B19">
        <f t="shared" ca="1" si="1"/>
        <v>0.27824562849345269</v>
      </c>
      <c r="C19">
        <f t="shared" ca="1" si="2"/>
        <v>0.96050995321458466</v>
      </c>
      <c r="G19">
        <f ca="1">SUM($H$2:H19)/COUNT($H$2:H19)</f>
        <v>-0.34865671469521037</v>
      </c>
      <c r="H19">
        <f t="shared" ca="1" si="3"/>
        <v>16.155526203631254</v>
      </c>
      <c r="I19">
        <f t="shared" ca="1" si="4"/>
        <v>9.9996458877191579</v>
      </c>
    </row>
    <row r="20" spans="1:9">
      <c r="A20">
        <f t="shared" ca="1" si="0"/>
        <v>10.228996875515731</v>
      </c>
      <c r="B20">
        <f t="shared" ca="1" si="1"/>
        <v>0.17758281011089144</v>
      </c>
      <c r="C20">
        <f t="shared" ca="1" si="2"/>
        <v>0.98410586094846475</v>
      </c>
      <c r="G20">
        <f ca="1">SUM($H$2:H20)/COUNT($H$2:H20)</f>
        <v>0.20806189531589184</v>
      </c>
      <c r="H20">
        <f t="shared" ca="1" si="3"/>
        <v>10.228996875515731</v>
      </c>
      <c r="I20">
        <f t="shared" ca="1" si="4"/>
        <v>-5.9265293281155227</v>
      </c>
    </row>
    <row r="21" spans="1:9">
      <c r="A21">
        <f t="shared" ca="1" si="0"/>
        <v>15.521793693977058</v>
      </c>
      <c r="B21">
        <f t="shared" ca="1" si="1"/>
        <v>0.26760489450618724</v>
      </c>
      <c r="C21">
        <f t="shared" ca="1" si="2"/>
        <v>0.96352873358106572</v>
      </c>
      <c r="G21">
        <f ca="1">SUM($H$2:H21)/COUNT($H$2:H21)</f>
        <v>0.97374848524895019</v>
      </c>
      <c r="H21">
        <f t="shared" ca="1" si="3"/>
        <v>15.521793693977058</v>
      </c>
      <c r="I21">
        <f t="shared" ca="1" si="4"/>
        <v>5.2927968184613263</v>
      </c>
    </row>
    <row r="23" spans="1:9">
      <c r="A23">
        <f ca="1">AVERAGE(A2:A21)</f>
        <v>0.97374848524895019</v>
      </c>
      <c r="B23">
        <f t="shared" ref="B23:C23" ca="1" si="5">AVERAGE(B2:B21)</f>
        <v>1.915117560317826E-2</v>
      </c>
      <c r="C23">
        <f t="shared" ca="1" si="5"/>
        <v>0.93975877229131632</v>
      </c>
      <c r="E23">
        <f ca="1">DEGREES(ATAN2(C23,B23))</f>
        <v>1.1674588266296082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E4"/>
  <sheetViews>
    <sheetView workbookViewId="0">
      <selection activeCell="D4" sqref="D4"/>
    </sheetView>
  </sheetViews>
  <sheetFormatPr defaultRowHeight="15"/>
  <cols>
    <col min="1" max="1" width="40.7109375" customWidth="1"/>
    <col min="3" max="3" width="6.7109375" customWidth="1"/>
    <col min="4" max="4" width="3" bestFit="1" customWidth="1"/>
  </cols>
  <sheetData>
    <row r="1" spans="1:5">
      <c r="A1" t="s">
        <v>26</v>
      </c>
      <c r="B1">
        <v>60</v>
      </c>
    </row>
    <row r="2" spans="1:5">
      <c r="A2" t="s">
        <v>27</v>
      </c>
      <c r="B2">
        <v>9</v>
      </c>
    </row>
    <row r="3" spans="1:5">
      <c r="A3" t="s">
        <v>28</v>
      </c>
      <c r="B3">
        <f>B1*2^(B2+1)</f>
        <v>61440</v>
      </c>
      <c r="C3" s="3" t="s">
        <v>31</v>
      </c>
      <c r="D3">
        <f>ROUNDUP(LOG(B3,2),0)</f>
        <v>16</v>
      </c>
      <c r="E3" t="s">
        <v>30</v>
      </c>
    </row>
    <row r="4" spans="1:5">
      <c r="A4" t="s">
        <v>29</v>
      </c>
      <c r="B4">
        <f>20*B3</f>
        <v>1228800</v>
      </c>
      <c r="C4" s="3" t="s">
        <v>31</v>
      </c>
      <c r="D4">
        <f>ROUNDUP(LOG(B4,2),0)</f>
        <v>21</v>
      </c>
      <c r="E4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7</vt:i4>
      </vt:variant>
      <vt:variant>
        <vt:lpstr>Névvel ellátott tartományok</vt:lpstr>
      </vt:variant>
      <vt:variant>
        <vt:i4>1</vt:i4>
      </vt:variant>
    </vt:vector>
  </HeadingPairs>
  <TitlesOfParts>
    <vt:vector size="8" baseType="lpstr">
      <vt:lpstr>8 bites</vt:lpstr>
      <vt:lpstr>9 bites</vt:lpstr>
      <vt:lpstr>4 bites</vt:lpstr>
      <vt:lpstr>atan45</vt:lpstr>
      <vt:lpstr>Munka1</vt:lpstr>
      <vt:lpstr>Munka2</vt:lpstr>
      <vt:lpstr>Munka4</vt:lpstr>
      <vt:lpstr>Rx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Zimmer András</dc:creator>
  <cp:lastModifiedBy>Zimmer András</cp:lastModifiedBy>
  <dcterms:created xsi:type="dcterms:W3CDTF">2010-02-03T09:52:36Z</dcterms:created>
  <dcterms:modified xsi:type="dcterms:W3CDTF">2010-02-09T08:16:26Z</dcterms:modified>
</cp:coreProperties>
</file>